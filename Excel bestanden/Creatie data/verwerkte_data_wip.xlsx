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no\Downloads\"/>
    </mc:Choice>
  </mc:AlternateContent>
  <xr:revisionPtr revIDLastSave="0" documentId="8_{233E3FBA-3C78-4131-8901-E0FB741472E1}" xr6:coauthVersionLast="47" xr6:coauthVersionMax="47" xr10:uidLastSave="{00000000-0000-0000-0000-000000000000}"/>
  <bookViews>
    <workbookView xWindow="11918" yWindow="0" windowWidth="12165" windowHeight="14362" xr2:uid="{E866EF55-6DCD-49D5-8517-3F31EA9FEE2A}"/>
  </bookViews>
  <sheets>
    <sheet name="verwerkt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1" l="1" a="1"/>
  <c r="AJ3" i="1"/>
  <c r="AJ4" i="1" a="1"/>
  <c r="AJ4" i="1"/>
  <c r="AJ5" i="1" a="1"/>
  <c r="AJ5" i="1"/>
  <c r="AJ6" i="1" a="1"/>
  <c r="AJ6" i="1"/>
  <c r="AJ7" i="1" a="1"/>
  <c r="AJ7" i="1"/>
  <c r="AJ8" i="1" a="1"/>
  <c r="AJ8" i="1"/>
  <c r="AJ9" i="1" a="1"/>
  <c r="AJ9" i="1"/>
  <c r="AJ10" i="1" a="1"/>
  <c r="AJ10" i="1" s="1"/>
  <c r="AJ11" i="1" a="1"/>
  <c r="AJ11" i="1" s="1"/>
  <c r="AJ12" i="1" a="1"/>
  <c r="AJ12" i="1"/>
  <c r="AJ13" i="1" a="1"/>
  <c r="AJ13" i="1"/>
  <c r="AJ14" i="1" a="1"/>
  <c r="AJ14" i="1" s="1"/>
  <c r="AJ15" i="1" a="1"/>
  <c r="AJ15" i="1"/>
  <c r="AJ16" i="1" a="1"/>
  <c r="AJ16" i="1"/>
  <c r="AJ17" i="1" a="1"/>
  <c r="AJ17" i="1"/>
  <c r="AJ18" i="1" a="1"/>
  <c r="AJ18" i="1"/>
  <c r="AJ19" i="1" a="1"/>
  <c r="AJ19" i="1" s="1"/>
  <c r="AJ20" i="1" a="1"/>
  <c r="AJ20" i="1"/>
  <c r="AJ21" i="1" a="1"/>
  <c r="AJ21" i="1"/>
  <c r="AJ22" i="1" a="1"/>
  <c r="AJ22" i="1"/>
  <c r="AJ23" i="1" a="1"/>
  <c r="AJ23" i="1"/>
  <c r="AJ24" i="1" a="1"/>
  <c r="AJ24" i="1"/>
  <c r="AJ25" i="1" a="1"/>
  <c r="AJ25" i="1"/>
  <c r="AJ26" i="1" a="1"/>
  <c r="AJ26" i="1" s="1"/>
  <c r="AJ2" i="1" a="1"/>
  <c r="AJ2" i="1" s="1"/>
  <c r="AI3" i="1" a="1"/>
  <c r="AI3" i="1" s="1"/>
  <c r="AI4" i="1" a="1"/>
  <c r="AI4" i="1" s="1"/>
  <c r="AI5" i="1" a="1"/>
  <c r="AI5" i="1"/>
  <c r="AI6" i="1" a="1"/>
  <c r="AI6" i="1" s="1"/>
  <c r="AI7" i="1" a="1"/>
  <c r="AI7" i="1"/>
  <c r="AI8" i="1" a="1"/>
  <c r="AI8" i="1"/>
  <c r="AI9" i="1" a="1"/>
  <c r="AI9" i="1"/>
  <c r="AI10" i="1" a="1"/>
  <c r="AI10" i="1"/>
  <c r="AI11" i="1" a="1"/>
  <c r="AI11" i="1"/>
  <c r="AI12" i="1" a="1"/>
  <c r="AI12" i="1"/>
  <c r="AI13" i="1" a="1"/>
  <c r="AI13" i="1"/>
  <c r="AI14" i="1" a="1"/>
  <c r="AI14" i="1"/>
  <c r="AI15" i="1" a="1"/>
  <c r="AI15" i="1"/>
  <c r="AI16" i="1" a="1"/>
  <c r="AI16" i="1"/>
  <c r="AI17" i="1" a="1"/>
  <c r="AI17" i="1"/>
  <c r="AI18" i="1" a="1"/>
  <c r="AI18" i="1"/>
  <c r="AI19" i="1" a="1"/>
  <c r="AI19" i="1" s="1"/>
  <c r="AI20" i="1" a="1"/>
  <c r="AI20" i="1" s="1"/>
  <c r="AI21" i="1" a="1"/>
  <c r="AI21" i="1"/>
  <c r="AI22" i="1" a="1"/>
  <c r="AI22" i="1" s="1"/>
  <c r="AI23" i="1" a="1"/>
  <c r="AI23" i="1"/>
  <c r="AI24" i="1" a="1"/>
  <c r="AI24" i="1"/>
  <c r="AI25" i="1" a="1"/>
  <c r="AI25" i="1"/>
  <c r="AI26" i="1" a="1"/>
  <c r="AI26" i="1"/>
  <c r="AI2" i="1" a="1"/>
  <c r="AI2" i="1" s="1"/>
  <c r="AG3" i="1" a="1"/>
  <c r="AG3" i="1"/>
  <c r="AG4" i="1" a="1"/>
  <c r="AG4" i="1" s="1"/>
  <c r="AG5" i="1" a="1"/>
  <c r="AG5" i="1" s="1"/>
  <c r="AG6" i="1" a="1"/>
  <c r="AG6" i="1"/>
  <c r="AG7" i="1" a="1"/>
  <c r="AG7" i="1" s="1"/>
  <c r="AG8" i="1" a="1"/>
  <c r="AG8" i="1"/>
  <c r="AG9" i="1" a="1"/>
  <c r="AG9" i="1"/>
  <c r="AG10" i="1" a="1"/>
  <c r="AG10" i="1"/>
  <c r="AG11" i="1" a="1"/>
  <c r="AG11" i="1"/>
  <c r="AG12" i="1" a="1"/>
  <c r="AG12" i="1"/>
  <c r="AG13" i="1" a="1"/>
  <c r="AG13" i="1"/>
  <c r="AG14" i="1" a="1"/>
  <c r="AG14" i="1"/>
  <c r="AG15" i="1" a="1"/>
  <c r="AG15" i="1" s="1"/>
  <c r="AG16" i="1" a="1"/>
  <c r="AG16" i="1" s="1"/>
  <c r="AG17" i="1" a="1"/>
  <c r="AG17" i="1" s="1"/>
  <c r="AG18" i="1" a="1"/>
  <c r="AG18" i="1" s="1"/>
  <c r="AG19" i="1" a="1"/>
  <c r="AG19" i="1"/>
  <c r="AG20" i="1" a="1"/>
  <c r="AG20" i="1" s="1"/>
  <c r="AG21" i="1" a="1"/>
  <c r="AG21" i="1" s="1"/>
  <c r="AG22" i="1" a="1"/>
  <c r="AG22" i="1" s="1"/>
  <c r="AG23" i="1" a="1"/>
  <c r="AG23" i="1" s="1"/>
  <c r="AG24" i="1" a="1"/>
  <c r="AG24" i="1"/>
  <c r="AG25" i="1" a="1"/>
  <c r="AG25" i="1" s="1"/>
  <c r="AG26" i="1" a="1"/>
  <c r="AG26" i="1"/>
  <c r="AG2" i="1" a="1"/>
  <c r="AG2" i="1"/>
  <c r="AF2" i="1" a="1"/>
  <c r="AF2" i="1"/>
  <c r="AF3" i="1" a="1"/>
  <c r="AF3" i="1" s="1"/>
  <c r="AF4" i="1" a="1"/>
  <c r="AF4" i="1"/>
  <c r="AF5" i="1" a="1"/>
  <c r="AF5" i="1" s="1"/>
  <c r="AF6" i="1" a="1"/>
  <c r="AF6" i="1" s="1"/>
  <c r="AF7" i="1" a="1"/>
  <c r="AF7" i="1"/>
  <c r="AF8" i="1" a="1"/>
  <c r="AF8" i="1" s="1"/>
  <c r="AF9" i="1" a="1"/>
  <c r="AF9" i="1"/>
  <c r="AF10" i="1" a="1"/>
  <c r="AF10" i="1" s="1"/>
  <c r="AF11" i="1" a="1"/>
  <c r="AF11" i="1" s="1"/>
  <c r="AF12" i="1" a="1"/>
  <c r="AF12" i="1"/>
  <c r="AF13" i="1" a="1"/>
  <c r="AF13" i="1"/>
  <c r="AF14" i="1" a="1"/>
  <c r="AF14" i="1"/>
  <c r="AF15" i="1" a="1"/>
  <c r="AF15" i="1"/>
  <c r="AF16" i="1" a="1"/>
  <c r="AF16" i="1"/>
  <c r="AF17" i="1" a="1"/>
  <c r="AF17" i="1" s="1"/>
  <c r="AF18" i="1" a="1"/>
  <c r="AF18" i="1"/>
  <c r="AF19" i="1" a="1"/>
  <c r="AF19" i="1" s="1"/>
  <c r="AF20" i="1" a="1"/>
  <c r="AF20" i="1"/>
  <c r="AF21" i="1" a="1"/>
  <c r="AF21" i="1" s="1"/>
  <c r="AF22" i="1" a="1"/>
  <c r="AF22" i="1" s="1"/>
  <c r="AF23" i="1" a="1"/>
  <c r="AF23" i="1"/>
  <c r="AF24" i="1" a="1"/>
  <c r="AF24" i="1" s="1"/>
  <c r="AF25" i="1" a="1"/>
  <c r="AF25" i="1"/>
  <c r="AF26" i="1" a="1"/>
  <c r="AF26" i="1" s="1"/>
  <c r="AE3" i="1" a="1"/>
  <c r="AE3" i="1" s="1"/>
  <c r="AE4" i="1" a="1"/>
  <c r="AE4" i="1"/>
  <c r="AE5" i="1" a="1"/>
  <c r="AE5" i="1"/>
  <c r="AE6" i="1" a="1"/>
  <c r="AE6" i="1"/>
  <c r="AE7" i="1" a="1"/>
  <c r="AE7" i="1"/>
  <c r="AE8" i="1" a="1"/>
  <c r="AE8" i="1"/>
  <c r="AE9" i="1" a="1"/>
  <c r="AE9" i="1"/>
  <c r="AE10" i="1" a="1"/>
  <c r="AE10" i="1"/>
  <c r="AE11" i="1" a="1"/>
  <c r="AE11" i="1"/>
  <c r="AE12" i="1" a="1"/>
  <c r="AE12" i="1"/>
  <c r="AE13" i="1" a="1"/>
  <c r="AE13" i="1"/>
  <c r="AE14" i="1" a="1"/>
  <c r="AE14" i="1"/>
  <c r="AE15" i="1" a="1"/>
  <c r="AE15" i="1"/>
  <c r="AE16" i="1" a="1"/>
  <c r="AE16" i="1"/>
  <c r="AE17" i="1" a="1"/>
  <c r="AE17" i="1"/>
  <c r="AE18" i="1" a="1"/>
  <c r="AE18" i="1"/>
  <c r="AE19" i="1" a="1"/>
  <c r="AE19" i="1" s="1"/>
  <c r="AE20" i="1" a="1"/>
  <c r="AE20" i="1"/>
  <c r="AE21" i="1" a="1"/>
  <c r="AE21" i="1"/>
  <c r="AE22" i="1" a="1"/>
  <c r="AE22" i="1"/>
  <c r="AE23" i="1" a="1"/>
  <c r="AE23" i="1"/>
  <c r="AE24" i="1" a="1"/>
  <c r="AE24" i="1"/>
  <c r="AE25" i="1" a="1"/>
  <c r="AE25" i="1"/>
  <c r="AE26" i="1" a="1"/>
  <c r="AE26" i="1"/>
  <c r="AE2" i="1" a="1"/>
  <c r="AE2" i="1" s="1"/>
  <c r="AH2" i="1" a="1"/>
  <c r="AH2" i="1"/>
  <c r="AH26" i="1" a="1"/>
  <c r="AH26" i="1" s="1"/>
  <c r="AH3" i="1" a="1"/>
  <c r="AH3" i="1"/>
  <c r="AH4" i="1" a="1"/>
  <c r="AH4" i="1"/>
  <c r="AH5" i="1" a="1"/>
  <c r="AH5" i="1"/>
  <c r="AH6" i="1" a="1"/>
  <c r="AH6" i="1"/>
  <c r="AH7" i="1" a="1"/>
  <c r="AH7" i="1" s="1"/>
  <c r="AH8" i="1" a="1"/>
  <c r="AH8" i="1"/>
  <c r="AH9" i="1" a="1"/>
  <c r="AH9" i="1"/>
  <c r="AH10" i="1" a="1"/>
  <c r="AH10" i="1" s="1"/>
  <c r="AH11" i="1" a="1"/>
  <c r="AH11" i="1"/>
  <c r="AH12" i="1" a="1"/>
  <c r="AH12" i="1"/>
  <c r="AH13" i="1" a="1"/>
  <c r="AH13" i="1"/>
  <c r="AH14" i="1" a="1"/>
  <c r="AH14" i="1"/>
  <c r="AH15" i="1" a="1"/>
  <c r="AH15" i="1" s="1"/>
  <c r="AH16" i="1" a="1"/>
  <c r="AH16" i="1" s="1"/>
  <c r="AH17" i="1" a="1"/>
  <c r="AH17" i="1"/>
  <c r="AH18" i="1" a="1"/>
  <c r="AH18" i="1" s="1"/>
  <c r="AH19" i="1" a="1"/>
  <c r="AH19" i="1"/>
  <c r="AH20" i="1" a="1"/>
  <c r="AH20" i="1" s="1"/>
  <c r="AH21" i="1" a="1"/>
  <c r="AH21" i="1"/>
  <c r="AH22" i="1" a="1"/>
  <c r="AH22" i="1"/>
  <c r="AH23" i="1" a="1"/>
  <c r="AH23" i="1" s="1"/>
  <c r="AH24" i="1" a="1"/>
  <c r="AH24" i="1"/>
  <c r="AH25" i="1" a="1"/>
  <c r="AH25" i="1"/>
  <c r="AD14" i="1" a="1"/>
  <c r="AD14" i="1" s="1"/>
  <c r="AC17" i="1" a="1"/>
  <c r="AC17" i="1" s="1"/>
  <c r="AB29" i="1" a="1"/>
  <c r="AB29" i="1" s="1"/>
  <c r="AB30" i="1" a="1"/>
  <c r="AB30" i="1" s="1"/>
  <c r="AB31" i="1" a="1"/>
  <c r="AB31" i="1" s="1"/>
  <c r="AB32" i="1" a="1"/>
  <c r="AB32" i="1"/>
  <c r="AB33" i="1" a="1"/>
  <c r="AB33" i="1" s="1"/>
  <c r="AB34" i="1" a="1"/>
  <c r="AB34" i="1"/>
  <c r="AB35" i="1" a="1"/>
  <c r="AB35" i="1" s="1"/>
  <c r="AB36" i="1" a="1"/>
  <c r="AB36" i="1"/>
  <c r="AB37" i="1" a="1"/>
  <c r="AB37" i="1"/>
  <c r="AB38" i="1" a="1"/>
  <c r="AB38" i="1"/>
  <c r="AB39" i="1" a="1"/>
  <c r="AB39" i="1"/>
  <c r="AB40" i="1" a="1"/>
  <c r="AB40" i="1" s="1"/>
  <c r="AB41" i="1" a="1"/>
  <c r="AB41" i="1" s="1"/>
  <c r="AB42" i="1" a="1"/>
  <c r="AB42" i="1" s="1"/>
  <c r="AB43" i="1" a="1"/>
  <c r="AB43" i="1"/>
  <c r="AB44" i="1" a="1"/>
  <c r="AB44" i="1" s="1"/>
  <c r="AB45" i="1" a="1"/>
  <c r="AB45" i="1"/>
  <c r="AB46" i="1" a="1"/>
  <c r="AB46" i="1" s="1"/>
  <c r="AB47" i="1" a="1"/>
  <c r="AB47" i="1"/>
  <c r="AB48" i="1" a="1"/>
  <c r="AB48" i="1" s="1"/>
  <c r="AB49" i="1" a="1"/>
  <c r="AB49" i="1" s="1"/>
  <c r="AB50" i="1" a="1"/>
  <c r="AB50" i="1" s="1"/>
  <c r="AB51" i="1" a="1"/>
  <c r="AB51" i="1" s="1"/>
  <c r="AB52" i="1" a="1"/>
  <c r="AB52" i="1" s="1"/>
  <c r="AB28" i="1" a="1"/>
  <c r="AB28" i="1"/>
  <c r="AA29" i="1" a="1"/>
  <c r="AA29" i="1" s="1"/>
  <c r="AA30" i="1" a="1"/>
  <c r="AA30" i="1"/>
  <c r="AA31" i="1" a="1"/>
  <c r="AA31" i="1"/>
  <c r="AA32" i="1" a="1"/>
  <c r="AA32" i="1"/>
  <c r="AA33" i="1" a="1"/>
  <c r="AA33" i="1"/>
  <c r="AA34" i="1" a="1"/>
  <c r="AA34" i="1" s="1"/>
  <c r="AA35" i="1" a="1"/>
  <c r="AA35" i="1"/>
  <c r="AA36" i="1" a="1"/>
  <c r="AA36" i="1" s="1"/>
  <c r="AA37" i="1" a="1"/>
  <c r="AA37" i="1"/>
  <c r="AA38" i="1" a="1"/>
  <c r="AA38" i="1"/>
  <c r="AA39" i="1" a="1"/>
  <c r="AA39" i="1" s="1"/>
  <c r="AA40" i="1" a="1"/>
  <c r="AA40" i="1" s="1"/>
  <c r="AA41" i="1" a="1"/>
  <c r="AA41" i="1"/>
  <c r="AA42" i="1" a="1"/>
  <c r="AA42" i="1"/>
  <c r="AA43" i="1" a="1"/>
  <c r="AA43" i="1" s="1"/>
  <c r="AA44" i="1" a="1"/>
  <c r="AA44" i="1"/>
  <c r="AA45" i="1" a="1"/>
  <c r="AA45" i="1" s="1"/>
  <c r="AA46" i="1" a="1"/>
  <c r="AA46" i="1" s="1"/>
  <c r="AA47" i="1" a="1"/>
  <c r="AA47" i="1" s="1"/>
  <c r="AA48" i="1" a="1"/>
  <c r="AA48" i="1" s="1"/>
  <c r="AA49" i="1" a="1"/>
  <c r="AA49" i="1"/>
  <c r="AA50" i="1" a="1"/>
  <c r="AA50" i="1"/>
  <c r="AA51" i="1" a="1"/>
  <c r="AA51" i="1"/>
  <c r="AA52" i="1" a="1"/>
  <c r="AA52" i="1"/>
  <c r="AA28" i="1" a="1"/>
  <c r="AA28" i="1" s="1"/>
  <c r="Z29" i="1" a="1"/>
  <c r="Z29" i="1" s="1"/>
  <c r="Z30" i="1" a="1"/>
  <c r="Z30" i="1"/>
  <c r="Z31" i="1" a="1"/>
  <c r="Z31" i="1" s="1"/>
  <c r="Z32" i="1" a="1"/>
  <c r="Z32" i="1"/>
  <c r="Z33" i="1" a="1"/>
  <c r="Z33" i="1" s="1"/>
  <c r="Z34" i="1" a="1"/>
  <c r="Z34" i="1" s="1"/>
  <c r="Z35" i="1" a="1"/>
  <c r="Z35" i="1" s="1"/>
  <c r="Z36" i="1" a="1"/>
  <c r="Z36" i="1"/>
  <c r="Z37" i="1" a="1"/>
  <c r="Z37" i="1"/>
  <c r="Z38" i="1" a="1"/>
  <c r="Z38" i="1" s="1"/>
  <c r="Z39" i="1" a="1"/>
  <c r="Z39" i="1"/>
  <c r="Z40" i="1" a="1"/>
  <c r="Z40" i="1"/>
  <c r="Z41" i="1" a="1"/>
  <c r="Z41" i="1" s="1"/>
  <c r="Z42" i="1" a="1"/>
  <c r="Z42" i="1"/>
  <c r="Z43" i="1" a="1"/>
  <c r="Z43" i="1" s="1"/>
  <c r="Z44" i="1" a="1"/>
  <c r="Z44" i="1"/>
  <c r="Z45" i="1" a="1"/>
  <c r="Z45" i="1"/>
  <c r="Z46" i="1" a="1"/>
  <c r="Z46" i="1"/>
  <c r="Z47" i="1" a="1"/>
  <c r="Z47" i="1" s="1"/>
  <c r="Z48" i="1" a="1"/>
  <c r="Z48" i="1"/>
  <c r="Z49" i="1" a="1"/>
  <c r="Z49" i="1" s="1"/>
  <c r="Z50" i="1" a="1"/>
  <c r="Z50" i="1" s="1"/>
  <c r="Z51" i="1" a="1"/>
  <c r="Z51" i="1" s="1"/>
  <c r="Z52" i="1" a="1"/>
  <c r="Z52" i="1"/>
  <c r="Z28" i="1" a="1"/>
  <c r="Z28" i="1" s="1"/>
  <c r="Y29" i="1" a="1"/>
  <c r="Y29" i="1" s="1"/>
  <c r="Y30" i="1" a="1"/>
  <c r="Y30" i="1"/>
  <c r="Y31" i="1" a="1"/>
  <c r="Y31" i="1"/>
  <c r="Y32" i="1" a="1"/>
  <c r="Y32" i="1" s="1"/>
  <c r="Y33" i="1" a="1"/>
  <c r="Y33" i="1"/>
  <c r="Y34" i="1" a="1"/>
  <c r="Y34" i="1" s="1"/>
  <c r="Y35" i="1" a="1"/>
  <c r="Y35" i="1" s="1"/>
  <c r="Y36" i="1" a="1"/>
  <c r="Y36" i="1" s="1"/>
  <c r="Y37" i="1" a="1"/>
  <c r="Y37" i="1" s="1"/>
  <c r="Y38" i="1" a="1"/>
  <c r="Y38" i="1"/>
  <c r="Y39" i="1" a="1"/>
  <c r="Y39" i="1" s="1"/>
  <c r="Y40" i="1" a="1"/>
  <c r="Y40" i="1"/>
  <c r="Y41" i="1" a="1"/>
  <c r="Y41" i="1"/>
  <c r="Y42" i="1" a="1"/>
  <c r="Y42" i="1" s="1"/>
  <c r="Y43" i="1" a="1"/>
  <c r="Y43" i="1" s="1"/>
  <c r="Y44" i="1" a="1"/>
  <c r="Y44" i="1" s="1"/>
  <c r="Y45" i="1" a="1"/>
  <c r="Y45" i="1" s="1"/>
  <c r="Y46" i="1" a="1"/>
  <c r="Y46" i="1"/>
  <c r="Y47" i="1" a="1"/>
  <c r="Y47" i="1"/>
  <c r="Y48" i="1" a="1"/>
  <c r="Y48" i="1"/>
  <c r="Y49" i="1" a="1"/>
  <c r="Y49" i="1" s="1"/>
  <c r="Y50" i="1" a="1"/>
  <c r="Y50" i="1"/>
  <c r="Y51" i="1" a="1"/>
  <c r="Y51" i="1"/>
  <c r="Y52" i="1" a="1"/>
  <c r="Y52" i="1" s="1"/>
  <c r="Y28" i="1" a="1"/>
  <c r="Y28" i="1" s="1"/>
  <c r="V29" i="1" a="1"/>
  <c r="V29" i="1"/>
  <c r="V30" i="1" a="1"/>
  <c r="V30" i="1" s="1"/>
  <c r="V31" i="1" a="1"/>
  <c r="V31" i="1"/>
  <c r="V32" i="1" a="1"/>
  <c r="V32" i="1" s="1"/>
  <c r="V33" i="1" a="1"/>
  <c r="V33" i="1" s="1"/>
  <c r="V34" i="1" a="1"/>
  <c r="V34" i="1"/>
  <c r="V35" i="1" a="1"/>
  <c r="V35" i="1" s="1"/>
  <c r="V36" i="1" a="1"/>
  <c r="V36" i="1" s="1"/>
  <c r="V37" i="1" a="1"/>
  <c r="V37" i="1" s="1"/>
  <c r="V38" i="1" a="1"/>
  <c r="V38" i="1" s="1"/>
  <c r="V39" i="1" a="1"/>
  <c r="V39" i="1" s="1"/>
  <c r="V40" i="1" a="1"/>
  <c r="V40" i="1"/>
  <c r="V41" i="1" a="1"/>
  <c r="V41" i="1"/>
  <c r="V42" i="1" a="1"/>
  <c r="V42" i="1" s="1"/>
  <c r="V43" i="1" a="1"/>
  <c r="V43" i="1"/>
  <c r="V44" i="1" a="1"/>
  <c r="V44" i="1"/>
  <c r="V45" i="1" a="1"/>
  <c r="V45" i="1" s="1"/>
  <c r="V46" i="1" a="1"/>
  <c r="V46" i="1"/>
  <c r="V47" i="1" a="1"/>
  <c r="V47" i="1" s="1"/>
  <c r="V48" i="1" a="1"/>
  <c r="V48" i="1"/>
  <c r="V49" i="1" a="1"/>
  <c r="V49" i="1"/>
  <c r="V50" i="1" a="1"/>
  <c r="V50" i="1" s="1"/>
  <c r="V51" i="1" a="1"/>
  <c r="V51" i="1"/>
  <c r="V52" i="1" a="1"/>
  <c r="V52" i="1" s="1"/>
  <c r="V28" i="1" a="1"/>
  <c r="V28" i="1" s="1"/>
  <c r="U29" i="1" a="1"/>
  <c r="U29" i="1"/>
  <c r="U30" i="1" a="1"/>
  <c r="U30" i="1" s="1"/>
  <c r="U31" i="1" a="1"/>
  <c r="U31" i="1"/>
  <c r="U32" i="1" a="1"/>
  <c r="U32" i="1" s="1"/>
  <c r="U33" i="1" a="1"/>
  <c r="U33" i="1" s="1"/>
  <c r="U34" i="1" a="1"/>
  <c r="U34" i="1"/>
  <c r="U35" i="1" a="1"/>
  <c r="U35" i="1" s="1"/>
  <c r="U36" i="1" a="1"/>
  <c r="U36" i="1"/>
  <c r="U37" i="1" a="1"/>
  <c r="U37" i="1"/>
  <c r="U38" i="1" a="1"/>
  <c r="U38" i="1"/>
  <c r="U39" i="1" a="1"/>
  <c r="U39" i="1"/>
  <c r="U40" i="1" a="1"/>
  <c r="U40" i="1"/>
  <c r="U41" i="1" a="1"/>
  <c r="U41" i="1"/>
  <c r="U42" i="1" a="1"/>
  <c r="U42" i="1" s="1"/>
  <c r="U43" i="1" a="1"/>
  <c r="U43" i="1" s="1"/>
  <c r="U44" i="1" a="1"/>
  <c r="U44" i="1"/>
  <c r="U45" i="1" a="1"/>
  <c r="U45" i="1" s="1"/>
  <c r="U46" i="1" a="1"/>
  <c r="U46" i="1" s="1"/>
  <c r="U47" i="1" a="1"/>
  <c r="U47" i="1" s="1"/>
  <c r="U48" i="1" a="1"/>
  <c r="U48" i="1" s="1"/>
  <c r="U49" i="1" a="1"/>
  <c r="U49" i="1" s="1"/>
  <c r="U50" i="1" a="1"/>
  <c r="U50" i="1"/>
  <c r="U51" i="1" a="1"/>
  <c r="U51" i="1" s="1"/>
  <c r="U52" i="1" a="1"/>
  <c r="U52" i="1" s="1"/>
  <c r="U28" i="1" a="1"/>
  <c r="U28" i="1" s="1"/>
  <c r="T29" i="1" a="1"/>
  <c r="T29" i="1"/>
  <c r="AD3" i="1" s="1" a="1"/>
  <c r="AD3" i="1" s="1"/>
  <c r="T30" i="1" a="1"/>
  <c r="T30" i="1" s="1"/>
  <c r="AD4" i="1" s="1" a="1"/>
  <c r="AD4" i="1" s="1"/>
  <c r="T31" i="1" a="1"/>
  <c r="T31" i="1" s="1"/>
  <c r="AD5" i="1" s="1" a="1"/>
  <c r="AD5" i="1" s="1"/>
  <c r="T32" i="1" a="1"/>
  <c r="T32" i="1"/>
  <c r="AD6" i="1" s="1" a="1"/>
  <c r="AD6" i="1" s="1"/>
  <c r="T33" i="1" a="1"/>
  <c r="T33" i="1"/>
  <c r="AD7" i="1" s="1" a="1"/>
  <c r="AD7" i="1" s="1"/>
  <c r="T34" i="1" a="1"/>
  <c r="T34" i="1" s="1"/>
  <c r="AD8" i="1" s="1" a="1"/>
  <c r="AD8" i="1" s="1"/>
  <c r="T35" i="1" a="1"/>
  <c r="T35" i="1"/>
  <c r="AD9" i="1" s="1" a="1"/>
  <c r="AD9" i="1" s="1"/>
  <c r="T36" i="1" a="1"/>
  <c r="T36" i="1"/>
  <c r="AD10" i="1" s="1" a="1"/>
  <c r="AD10" i="1" s="1"/>
  <c r="T37" i="1" a="1"/>
  <c r="T37" i="1"/>
  <c r="AD11" i="1" s="1" a="1"/>
  <c r="AD11" i="1" s="1"/>
  <c r="T38" i="1" a="1"/>
  <c r="T38" i="1"/>
  <c r="AD12" i="1" s="1" a="1"/>
  <c r="AD12" i="1" s="1"/>
  <c r="T39" i="1" a="1"/>
  <c r="T39" i="1" s="1"/>
  <c r="AD13" i="1" s="1" a="1"/>
  <c r="AD13" i="1" s="1"/>
  <c r="T40" i="1" a="1"/>
  <c r="T40" i="1"/>
  <c r="T41" i="1" a="1"/>
  <c r="T41" i="1" s="1"/>
  <c r="AD15" i="1" s="1" a="1"/>
  <c r="AD15" i="1" s="1"/>
  <c r="T42" i="1" a="1"/>
  <c r="T42" i="1"/>
  <c r="AD16" i="1" s="1" a="1"/>
  <c r="AD16" i="1" s="1"/>
  <c r="T43" i="1" a="1"/>
  <c r="T43" i="1" s="1"/>
  <c r="AD17" i="1" s="1" a="1"/>
  <c r="AD17" i="1" s="1"/>
  <c r="T44" i="1" a="1"/>
  <c r="T44" i="1"/>
  <c r="AD18" i="1" s="1" a="1"/>
  <c r="AD18" i="1" s="1"/>
  <c r="T45" i="1" a="1"/>
  <c r="T45" i="1" s="1"/>
  <c r="AD19" i="1" s="1" a="1"/>
  <c r="AD19" i="1" s="1"/>
  <c r="T46" i="1" a="1"/>
  <c r="T46" i="1" s="1"/>
  <c r="AD20" i="1" s="1" a="1"/>
  <c r="AD20" i="1" s="1"/>
  <c r="T47" i="1" a="1"/>
  <c r="T47" i="1" s="1"/>
  <c r="AD21" i="1" s="1" a="1"/>
  <c r="AD21" i="1" s="1"/>
  <c r="T48" i="1" a="1"/>
  <c r="T48" i="1"/>
  <c r="AD22" i="1" s="1" a="1"/>
  <c r="AD22" i="1" s="1"/>
  <c r="T49" i="1" a="1"/>
  <c r="T49" i="1" s="1"/>
  <c r="AD23" i="1" s="1" a="1"/>
  <c r="AD23" i="1" s="1"/>
  <c r="T50" i="1" a="1"/>
  <c r="T50" i="1" s="1"/>
  <c r="AD24" i="1" s="1" a="1"/>
  <c r="AD24" i="1" s="1"/>
  <c r="T51" i="1" a="1"/>
  <c r="T51" i="1"/>
  <c r="AD25" i="1" s="1" a="1"/>
  <c r="AD25" i="1" s="1"/>
  <c r="T52" i="1" a="1"/>
  <c r="T52" i="1"/>
  <c r="AD26" i="1" s="1" a="1"/>
  <c r="AD26" i="1" s="1"/>
  <c r="T28" i="1" a="1"/>
  <c r="T28" i="1"/>
  <c r="AD2" i="1" s="1" a="1"/>
  <c r="AD2" i="1" s="1"/>
  <c r="S29" i="1" a="1"/>
  <c r="S29" i="1"/>
  <c r="AC3" i="1" s="1" a="1"/>
  <c r="AC3" i="1" s="1"/>
  <c r="S30" i="1" a="1"/>
  <c r="S30" i="1"/>
  <c r="AC4" i="1" s="1" a="1"/>
  <c r="AC4" i="1" s="1"/>
  <c r="S31" i="1" a="1"/>
  <c r="S31" i="1" s="1"/>
  <c r="AC5" i="1" s="1" a="1"/>
  <c r="AC5" i="1" s="1"/>
  <c r="S32" i="1" a="1"/>
  <c r="S32" i="1" s="1"/>
  <c r="AC6" i="1" s="1" a="1"/>
  <c r="AC6" i="1" s="1"/>
  <c r="S33" i="1" a="1"/>
  <c r="S33" i="1" s="1"/>
  <c r="AC7" i="1" s="1" a="1"/>
  <c r="AC7" i="1" s="1"/>
  <c r="S34" i="1" a="1"/>
  <c r="S34" i="1" s="1"/>
  <c r="AC8" i="1" s="1" a="1"/>
  <c r="AC8" i="1" s="1"/>
  <c r="S35" i="1" a="1"/>
  <c r="S35" i="1" s="1"/>
  <c r="AC9" i="1" s="1" a="1"/>
  <c r="AC9" i="1" s="1"/>
  <c r="S36" i="1" a="1"/>
  <c r="S36" i="1" s="1"/>
  <c r="AC10" i="1" s="1" a="1"/>
  <c r="AC10" i="1" s="1"/>
  <c r="S37" i="1" a="1"/>
  <c r="S37" i="1" s="1"/>
  <c r="AC11" i="1" s="1" a="1"/>
  <c r="AC11" i="1" s="1"/>
  <c r="S38" i="1" a="1"/>
  <c r="S38" i="1"/>
  <c r="AC12" i="1" s="1" a="1"/>
  <c r="AC12" i="1" s="1"/>
  <c r="S39" i="1" a="1"/>
  <c r="S39" i="1"/>
  <c r="AC13" i="1" s="1" a="1"/>
  <c r="AC13" i="1" s="1"/>
  <c r="S40" i="1" a="1"/>
  <c r="S40" i="1"/>
  <c r="AC14" i="1" s="1" a="1"/>
  <c r="AC14" i="1" s="1"/>
  <c r="S41" i="1" a="1"/>
  <c r="S41" i="1"/>
  <c r="AC15" i="1" s="1" a="1"/>
  <c r="AC15" i="1" s="1"/>
  <c r="S42" i="1" a="1"/>
  <c r="S42" i="1" s="1"/>
  <c r="AC16" i="1" s="1" a="1"/>
  <c r="AC16" i="1" s="1"/>
  <c r="S43" i="1" a="1"/>
  <c r="S43" i="1"/>
  <c r="S44" i="1" a="1"/>
  <c r="S44" i="1" s="1"/>
  <c r="AC18" i="1" s="1" a="1"/>
  <c r="AC18" i="1" s="1"/>
  <c r="S45" i="1" a="1"/>
  <c r="S45" i="1"/>
  <c r="AC19" i="1" s="1" a="1"/>
  <c r="AC19" i="1" s="1"/>
  <c r="S46" i="1" a="1"/>
  <c r="S46" i="1"/>
  <c r="AC20" i="1" s="1" a="1"/>
  <c r="AC20" i="1" s="1"/>
  <c r="S47" i="1" a="1"/>
  <c r="S47" i="1" s="1"/>
  <c r="AC21" i="1" s="1" a="1"/>
  <c r="AC21" i="1" s="1"/>
  <c r="S48" i="1" a="1"/>
  <c r="S48" i="1" s="1"/>
  <c r="AC22" i="1" s="1" a="1"/>
  <c r="AC22" i="1" s="1"/>
  <c r="S49" i="1" a="1"/>
  <c r="S49" i="1"/>
  <c r="AC23" i="1" s="1" a="1"/>
  <c r="AC23" i="1" s="1"/>
  <c r="S50" i="1" a="1"/>
  <c r="S50" i="1"/>
  <c r="AC24" i="1" s="1" a="1"/>
  <c r="AC24" i="1" s="1"/>
  <c r="S51" i="1" a="1"/>
  <c r="S51" i="1"/>
  <c r="AC25" i="1" s="1" a="1"/>
  <c r="AC25" i="1" s="1"/>
  <c r="S52" i="1" a="1"/>
  <c r="S52" i="1" s="1"/>
  <c r="AC26" i="1" s="1" a="1"/>
  <c r="AC26" i="1" s="1"/>
  <c r="S28" i="1" a="1"/>
  <c r="S28" i="1" s="1"/>
  <c r="AC2" i="1" s="1" a="1"/>
  <c r="AC2" i="1" s="1"/>
  <c r="C32" i="1" a="1"/>
  <c r="C3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<sst xmlns="http://schemas.openxmlformats.org/spreadsheetml/2006/main" count="314" uniqueCount="80">
  <si>
    <t>Wijk</t>
  </si>
  <si>
    <t>sdnn_1</t>
  </si>
  <si>
    <t>rmssd_1</t>
  </si>
  <si>
    <t>nn50_1</t>
  </si>
  <si>
    <t>pnn50_1</t>
  </si>
  <si>
    <t>sdnn_2</t>
  </si>
  <si>
    <t>rmssd_2</t>
  </si>
  <si>
    <t>nn50_2</t>
  </si>
  <si>
    <t>pnn50_2</t>
  </si>
  <si>
    <t>HR1</t>
  </si>
  <si>
    <t>HR2</t>
  </si>
  <si>
    <t>MinHR1</t>
  </si>
  <si>
    <t>MinHR2</t>
  </si>
  <si>
    <t>MaxHR1</t>
  </si>
  <si>
    <t>MaxHR2</t>
  </si>
  <si>
    <t>STDHR1</t>
  </si>
  <si>
    <t>STDHR2</t>
  </si>
  <si>
    <t>HR Diff</t>
  </si>
  <si>
    <t>mvc Bloeddruk (Bovendruk) 1</t>
  </si>
  <si>
    <t>mvc Bloeddruk (Bovendruk) 2</t>
  </si>
  <si>
    <t>mvc Cholesterol 1</t>
  </si>
  <si>
    <t>mvc Cholesterol 2</t>
  </si>
  <si>
    <t>mvc Non-HDL 1</t>
  </si>
  <si>
    <t>mvc Non-HDL 2</t>
  </si>
  <si>
    <t>mvc Bloedsuiker 1</t>
  </si>
  <si>
    <t>mvc Bloedsuiker 2</t>
  </si>
  <si>
    <t>mvc BMI 1</t>
  </si>
  <si>
    <t>mvc BMI 2</t>
  </si>
  <si>
    <t>c BD 1 gem</t>
  </si>
  <si>
    <t>c BD 2 gem</t>
  </si>
  <si>
    <t>c chol1 gem</t>
  </si>
  <si>
    <t>c chol2 gem</t>
  </si>
  <si>
    <t>c bs1 gem</t>
  </si>
  <si>
    <t>c bs2 gem</t>
  </si>
  <si>
    <t>c bmi1 gem</t>
  </si>
  <si>
    <t>c bmi2 gem</t>
  </si>
  <si>
    <t>Bijlmer-Centrum</t>
  </si>
  <si>
    <t>&lt;120</t>
  </si>
  <si>
    <t>5-6.5</t>
  </si>
  <si>
    <t>&lt;5</t>
  </si>
  <si>
    <t>&lt;3.8</t>
  </si>
  <si>
    <t>&gt;3.8</t>
  </si>
  <si>
    <t>&lt;7.8</t>
  </si>
  <si>
    <t>18.5-25</t>
  </si>
  <si>
    <t>25-30</t>
  </si>
  <si>
    <t>Bijlmer-Oost</t>
  </si>
  <si>
    <t>140-180</t>
  </si>
  <si>
    <t>&gt;8</t>
  </si>
  <si>
    <t>&gt;11.1</t>
  </si>
  <si>
    <t>Bijlmer-West</t>
  </si>
  <si>
    <t>Bos en Lommer</t>
  </si>
  <si>
    <t>6.5-8</t>
  </si>
  <si>
    <t>7.8-11</t>
  </si>
  <si>
    <t>Buitenveldert, Zuidas</t>
  </si>
  <si>
    <t>120-140</t>
  </si>
  <si>
    <t>Centrum-Oost</t>
  </si>
  <si>
    <t>&gt;30</t>
  </si>
  <si>
    <t>Centrum-West</t>
  </si>
  <si>
    <t>De Aker, Sloten,  Nieuw-Sloten</t>
  </si>
  <si>
    <t>De Pijp, Rivierenbuurt</t>
  </si>
  <si>
    <t>Gaasperdam</t>
  </si>
  <si>
    <t>&lt;18.5</t>
  </si>
  <si>
    <t>Geuzenveld, Slotermeer</t>
  </si>
  <si>
    <t>IJburg, Zeeburgereiland</t>
  </si>
  <si>
    <t>Indische Buurt, Oostelijk Havengebied</t>
  </si>
  <si>
    <t>Noord-Oost</t>
  </si>
  <si>
    <t>Noord-West</t>
  </si>
  <si>
    <t>Osdorp</t>
  </si>
  <si>
    <t>Oud-Noord</t>
  </si>
  <si>
    <t>Oud-Oost</t>
  </si>
  <si>
    <t>Oud-West, De Baarsjes</t>
  </si>
  <si>
    <t>Oud-Zuid</t>
  </si>
  <si>
    <t>Sloterdijk Nieuw-West</t>
  </si>
  <si>
    <t>Slotervaart</t>
  </si>
  <si>
    <t>Watergraafsmeer</t>
  </si>
  <si>
    <t>Weesp, Driemond</t>
  </si>
  <si>
    <t>Westerpark</t>
  </si>
  <si>
    <t>categorieen</t>
  </si>
  <si>
    <t>sigma</t>
  </si>
  <si>
    <t>gezondheidsbias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</si>
</sst>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8" fillId="0" borderId="0" xfId="0" applyFont="1" applyAlignment="1">
      <alignment vertical="center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B692-B133-4326-91A2-12248002745F}">
  <dimension ref="A1:AJ63"/>
  <sheetViews>
    <sheetView tabSelected="1" zoomScale="47" workbookViewId="0">
      <selection activeCell="I36" sqref="I36"/>
    </sheetView>
  </sheetViews>
  <sheetFormatPr defaultRowHeight="14.25"/>
  <cols>
    <col min="29" max="36" width="9.46484375" bestFit="1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>
        <v>47.858313080265397</v>
      </c>
      <c r="C2">
        <v>79.186550650483298</v>
      </c>
      <c r="D2">
        <v>5</v>
      </c>
      <c r="E2">
        <v>3.2679738562091498</v>
      </c>
      <c r="F2">
        <v>161.50105886137601</v>
      </c>
      <c r="G2">
        <v>257.55452497157398</v>
      </c>
      <c r="H2">
        <v>86</v>
      </c>
      <c r="I2">
        <v>62.318840579710098</v>
      </c>
      <c r="J2">
        <v>71.087663376623297</v>
      </c>
      <c r="K2">
        <v>69.311511798561099</v>
      </c>
      <c r="L2">
        <v>69.200005000000004</v>
      </c>
      <c r="M2">
        <v>66.200005000000004</v>
      </c>
      <c r="N2">
        <v>84.200005000000004</v>
      </c>
      <c r="O2">
        <v>73.700005000000004</v>
      </c>
      <c r="P2">
        <v>1.79844993968615</v>
      </c>
      <c r="Q2">
        <v>1.5174389812036699</v>
      </c>
      <c r="R2">
        <v>-1.7761515780622199</v>
      </c>
      <c r="S2" t="s">
        <v>37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42</v>
      </c>
      <c r="AA2" t="s">
        <v>43</v>
      </c>
      <c r="AB2" t="s">
        <v>44</v>
      </c>
      <c r="AC2" s="3" cm="1">
        <f t="array" ref="AC2">SUMPRODUCT(S$56:S$59, EXP(-((S$56:S$59-S28)^2)/(2*S$61^2))*EXP(-S$63*MAX(0,S$56:S$59-2)))/SUM(EXP(-((S$56:S$59-S28)^2)/(2*S$61^2))*EXP(-S$63*MAX(0,S$56:S$59-2)))</f>
        <v>1.5194188435271037</v>
      </c>
      <c r="AD2" s="3" cm="1">
        <f t="array" ref="AD2">SUMPRODUCT(T$56:T$59, EXP(-((T$56:T$59-T28)^2)/(2*T$61^2))*EXP(-T$63*MAX(0,T$56:T$59-2)))/SUM(EXP(-((T$56:T$59-T28)^2)/(2*T$61^2))*EXP(-T$63*MAX(0,T$56:T$59-2)))</f>
        <v>1.5194188435271037</v>
      </c>
      <c r="AE2" s="3" cm="1">
        <f t="array" ref="AE2">SUMPRODUCT(U$56:U$59, EXP(-((U$56:U$59-U28)^2)/(2*U$61^2))*EXP(-U$63*MAX(0,U$56:U$59-1)))/SUM(EXP(-((U$56:U$59-U28)^2)/(2*U$61^2))*EXP(-U$63*MAX(0,U$56:U$59-1)))</f>
        <v>2.1152576043443529</v>
      </c>
      <c r="AF2" s="3" cm="1">
        <f t="array" ref="AF2">SUMPRODUCT(V$56:V$59, EXP(-((V$56:V$59-V28)^2)/(2*V$61^2))*EXP(-V$63*MAX(0,V$56:V$59-1)))/SUM(EXP(-((V$56:V$59-V28)^2)/(2*V$61^2))*EXP(-V$63*MAX(0,V$56:V$59-1)))</f>
        <v>1.5194188435271037</v>
      </c>
      <c r="AG2" s="3" cm="1">
        <f t="array" ref="AG2">SUMPRODUCT(Y$56:Y$58, EXP(-((Y$56:Y$58-Y28)^2)/(2*Y$61^2))*EXP(-Y$63*MAX(0,Y$56:Y$58-1)))/SUM(EXP(-((Y$56:Y$58-Y28)^2)/(2*Y$61^2))*EXP(-Y$63*MAX(0,Y$56:Y$58-1)))</f>
        <v>1.5035985861808761</v>
      </c>
      <c r="AH2" s="3" cm="1">
        <f t="array" ref="AH2">SUMPRODUCT(Z$56:Z$58, EXP(-((Z$56:Z$58-Z28)^2)/(2*Z$61^2))*EXP(-Z$63*MAX(0,Z$56:Z$58-2)))/SUM(EXP(-((Z$56:Z$58-Z28)^2)/(2*Z$61^2))*EXP(-Z$63*MAX(0,Z$56:Z$58-2)))</f>
        <v>1.5035985861808761</v>
      </c>
      <c r="AI2" s="3" cm="1">
        <f t="array" ref="AI2">SUMPRODUCT(AA$56:AA$59, EXP(-((AA$56:AA$59-AA28)^2)/(2*AA$61^2))*EXP(-AA$63*ABS(AA$56:AA$59-1)))/SUM(EXP(-((AA$56:AA$59-AA28)^2)/(2*AA$61^2))*EXP(-AA$63*ABS(AA$56:AA$59-1)))</f>
        <v>2.0146887820263686</v>
      </c>
      <c r="AJ2" s="3" cm="1">
        <f t="array" ref="AJ2">SUMPRODUCT(AB$56:AB$59, EXP(-((AB$56:AB$59-AB28)^2)/(2*AB$61^2))*EXP(-AB$63*ABS(AB$56:AB$59-1)))/SUM(EXP(-((AB$56:AB$59-AB28)^2)/(2*AB$61^2))*EXP(-AB$63*ABS(AB$56:AB$59-1)))</f>
        <v>2.7801545234284921</v>
      </c>
    </row>
    <row r="3" spans="1:36">
      <c r="A3" t="s">
        <v>45</v>
      </c>
      <c r="B3">
        <v>29.743917306301501</v>
      </c>
      <c r="C3">
        <v>15.1568377219567</v>
      </c>
      <c r="D3">
        <v>1</v>
      </c>
      <c r="E3">
        <v>0.67567567567567499</v>
      </c>
      <c r="F3">
        <v>792.68553972564405</v>
      </c>
      <c r="G3">
        <v>1081.9571889384699</v>
      </c>
      <c r="H3">
        <v>49</v>
      </c>
      <c r="I3">
        <v>53.260869565217398</v>
      </c>
      <c r="J3">
        <v>74.9335580536912</v>
      </c>
      <c r="K3">
        <v>70.5462377956989</v>
      </c>
      <c r="L3">
        <v>71.3</v>
      </c>
      <c r="M3">
        <v>66.200005000000004</v>
      </c>
      <c r="N3">
        <v>80.5</v>
      </c>
      <c r="O3">
        <v>76.5</v>
      </c>
      <c r="P3">
        <v>2.36773400581394</v>
      </c>
      <c r="Q3">
        <v>3.0609944181335602</v>
      </c>
      <c r="R3">
        <v>-4.38732025799235</v>
      </c>
      <c r="S3" t="s">
        <v>37</v>
      </c>
      <c r="T3" t="s">
        <v>46</v>
      </c>
      <c r="U3" t="s">
        <v>39</v>
      </c>
      <c r="V3" t="s">
        <v>47</v>
      </c>
      <c r="W3" t="s">
        <v>40</v>
      </c>
      <c r="X3" t="s">
        <v>40</v>
      </c>
      <c r="Y3" t="s">
        <v>48</v>
      </c>
      <c r="Z3" t="s">
        <v>42</v>
      </c>
      <c r="AA3" t="s">
        <v>44</v>
      </c>
      <c r="AB3" t="s">
        <v>44</v>
      </c>
      <c r="AC3" s="3" cm="1">
        <f t="array" ref="AC3">SUMPRODUCT(S$56:S$59, EXP(-((S$56:S$59-S29)^2)/(2*S$61^2))*EXP(-S$63*MAX(0,S$56:S$59-2)))/SUM(EXP(-((S$56:S$59-S29)^2)/(2*S$61^2))*EXP(-S$63*MAX(0,S$56:S$59-2)))</f>
        <v>1.5194188435271037</v>
      </c>
      <c r="AD3" s="3" cm="1">
        <f t="array" ref="AD3">SUMPRODUCT(T$56:T$59, EXP(-((T$56:T$59-T29)^2)/(2*T$61^2))*EXP(-T$63*MAX(0,T$56:T$59-2)))/SUM(EXP(-((T$56:T$59-T29)^2)/(2*T$61^2))*EXP(-T$63*MAX(0,T$56:T$59-2)))</f>
        <v>2.8847423956556471</v>
      </c>
      <c r="AE3" s="3" cm="1">
        <f t="array" ref="AE3">SUMPRODUCT(U$56:U$59, EXP(-((U$56:U$59-U29)^2)/(2*U$61^2))*EXP(-U$63*MAX(0,U$56:U$59-1)))/SUM(EXP(-((U$56:U$59-U29)^2)/(2*U$61^2))*EXP(-U$63*MAX(0,U$56:U$59-1)))</f>
        <v>1.5194188435271037</v>
      </c>
      <c r="AF3" s="3" cm="1">
        <f t="array" ref="AF3">SUMPRODUCT(V$56:V$59, EXP(-((V$56:V$59-V29)^2)/(2*V$61^2))*EXP(-V$63*MAX(0,V$56:V$59-1)))/SUM(EXP(-((V$56:V$59-V29)^2)/(2*V$61^2))*EXP(-V$63*MAX(0,V$56:V$59-1)))</f>
        <v>3.4805811564728959</v>
      </c>
      <c r="AG3" s="3" cm="1">
        <f t="array" ref="AG3">SUMPRODUCT(Y$56:Y$58, EXP(-((Y$56:Y$58-Y29)^2)/(2*Y$61^2))*EXP(-Y$63*MAX(0,Y$56:Y$58-1)))/SUM(EXP(-((Y$56:Y$58-Y29)^2)/(2*Y$61^2))*EXP(-Y$63*MAX(0,Y$56:Y$58-1)))</f>
        <v>2.4964014138191239</v>
      </c>
      <c r="AH3" s="3" cm="1">
        <f t="array" ref="AH3">SUMPRODUCT(Z$56:Z$58, EXP(-((Z$56:Z$58-Z29)^2)/(2*Z$61^2))*EXP(-Z$63*MAX(0,Z$56:Z$58-2)))/SUM(EXP(-((Z$56:Z$58-Z29)^2)/(2*Z$61^2))*EXP(-Z$63*MAX(0,Z$56:Z$58-2)))</f>
        <v>1.5035985861808761</v>
      </c>
      <c r="AI3" s="3" cm="1">
        <f t="array" ref="AI3">SUMPRODUCT(AA$56:AA$59, EXP(-((AA$56:AA$59-AA29)^2)/(2*AA$61^2))*EXP(-AA$63*ABS(AA$56:AA$59-1)))/SUM(EXP(-((AA$56:AA$59-AA29)^2)/(2*AA$61^2))*EXP(-AA$63*ABS(AA$56:AA$59-1)))</f>
        <v>2.7801545234284921</v>
      </c>
      <c r="AJ3" s="3" cm="1">
        <f t="array" ref="AJ3">SUMPRODUCT(AB$56:AB$59, EXP(-((AB$56:AB$59-AB29)^2)/(2*AB$61^2))*EXP(-AB$63*ABS(AB$56:AB$59-1)))/SUM(EXP(-((AB$56:AB$59-AB29)^2)/(2*AB$61^2))*EXP(-AB$63*ABS(AB$56:AB$59-1)))</f>
        <v>2.7801545234284921</v>
      </c>
    </row>
    <row r="4" spans="1:36">
      <c r="A4" t="s">
        <v>49</v>
      </c>
      <c r="B4">
        <v>868.21768716962004</v>
      </c>
      <c r="C4">
        <v>962.85103705880499</v>
      </c>
      <c r="D4">
        <v>36</v>
      </c>
      <c r="E4">
        <v>39.130434782608603</v>
      </c>
      <c r="F4">
        <v>47.399412608433799</v>
      </c>
      <c r="G4">
        <v>61.713594909145897</v>
      </c>
      <c r="H4">
        <v>12</v>
      </c>
      <c r="I4">
        <v>10.1694915254237</v>
      </c>
      <c r="J4">
        <v>64.961291182795705</v>
      </c>
      <c r="K4">
        <v>60.090756705882299</v>
      </c>
      <c r="L4">
        <v>58</v>
      </c>
      <c r="M4">
        <v>56.8</v>
      </c>
      <c r="N4">
        <v>74.200005000000004</v>
      </c>
      <c r="O4">
        <v>63.8</v>
      </c>
      <c r="P4">
        <v>5.0393252226376903</v>
      </c>
      <c r="Q4">
        <v>1.5380481820609699</v>
      </c>
      <c r="R4">
        <v>-4.8705344769133703</v>
      </c>
      <c r="S4" t="s">
        <v>46</v>
      </c>
      <c r="T4" t="s">
        <v>37</v>
      </c>
      <c r="U4" t="s">
        <v>38</v>
      </c>
      <c r="V4" t="s">
        <v>38</v>
      </c>
      <c r="W4" t="s">
        <v>41</v>
      </c>
      <c r="X4" t="s">
        <v>40</v>
      </c>
      <c r="Y4" t="s">
        <v>48</v>
      </c>
      <c r="Z4" t="s">
        <v>42</v>
      </c>
      <c r="AA4" t="s">
        <v>44</v>
      </c>
      <c r="AB4" t="s">
        <v>44</v>
      </c>
      <c r="AC4" s="3" cm="1">
        <f t="array" ref="AC4">SUMPRODUCT(S$56:S$59, EXP(-((S$56:S$59-S30)^2)/(2*S$61^2))*EXP(-S$63*MAX(0,S$56:S$59-2)))/SUM(EXP(-((S$56:S$59-S30)^2)/(2*S$61^2))*EXP(-S$63*MAX(0,S$56:S$59-2)))</f>
        <v>2.8847423956556471</v>
      </c>
      <c r="AD4" s="3" cm="1">
        <f t="array" ref="AD4">SUMPRODUCT(T$56:T$59, EXP(-((T$56:T$59-T30)^2)/(2*T$61^2))*EXP(-T$63*MAX(0,T$56:T$59-2)))/SUM(EXP(-((T$56:T$59-T30)^2)/(2*T$61^2))*EXP(-T$63*MAX(0,T$56:T$59-2)))</f>
        <v>1.5194188435271037</v>
      </c>
      <c r="AE4" s="3" cm="1">
        <f t="array" ref="AE4">SUMPRODUCT(U$56:U$59, EXP(-((U$56:U$59-U30)^2)/(2*U$61^2))*EXP(-U$63*MAX(0,U$56:U$59-1)))/SUM(EXP(-((U$56:U$59-U30)^2)/(2*U$61^2))*EXP(-U$63*MAX(0,U$56:U$59-1)))</f>
        <v>2.1152576043443529</v>
      </c>
      <c r="AF4" s="3" cm="1">
        <f t="array" ref="AF4">SUMPRODUCT(V$56:V$59, EXP(-((V$56:V$59-V30)^2)/(2*V$61^2))*EXP(-V$63*MAX(0,V$56:V$59-1)))/SUM(EXP(-((V$56:V$59-V30)^2)/(2*V$61^2))*EXP(-V$63*MAX(0,V$56:V$59-1)))</f>
        <v>2.1152576043443529</v>
      </c>
      <c r="AG4" s="3" cm="1">
        <f t="array" ref="AG4">SUMPRODUCT(Y$56:Y$58, EXP(-((Y$56:Y$58-Y30)^2)/(2*Y$61^2))*EXP(-Y$63*MAX(0,Y$56:Y$58-1)))/SUM(EXP(-((Y$56:Y$58-Y30)^2)/(2*Y$61^2))*EXP(-Y$63*MAX(0,Y$56:Y$58-1)))</f>
        <v>2.4964014138191239</v>
      </c>
      <c r="AH4" s="3" cm="1">
        <f t="array" ref="AH4">SUMPRODUCT(Z$56:Z$58, EXP(-((Z$56:Z$58-Z30)^2)/(2*Z$61^2))*EXP(-Z$63*MAX(0,Z$56:Z$58-2)))/SUM(EXP(-((Z$56:Z$58-Z30)^2)/(2*Z$61^2))*EXP(-Z$63*MAX(0,Z$56:Z$58-2)))</f>
        <v>1.5035985861808761</v>
      </c>
      <c r="AI4" s="3" cm="1">
        <f t="array" ref="AI4">SUMPRODUCT(AA$56:AA$59, EXP(-((AA$56:AA$59-AA30)^2)/(2*AA$61^2))*EXP(-AA$63*ABS(AA$56:AA$59-1)))/SUM(EXP(-((AA$56:AA$59-AA30)^2)/(2*AA$61^2))*EXP(-AA$63*ABS(AA$56:AA$59-1)))</f>
        <v>2.7801545234284921</v>
      </c>
      <c r="AJ4" s="3" cm="1">
        <f t="array" ref="AJ4">SUMPRODUCT(AB$56:AB$59, EXP(-((AB$56:AB$59-AB30)^2)/(2*AB$61^2))*EXP(-AB$63*ABS(AB$56:AB$59-1)))/SUM(EXP(-((AB$56:AB$59-AB30)^2)/(2*AB$61^2))*EXP(-AB$63*ABS(AB$56:AB$59-1)))</f>
        <v>2.7801545234284921</v>
      </c>
    </row>
    <row r="5" spans="1:36">
      <c r="A5" t="s">
        <v>50</v>
      </c>
      <c r="B5">
        <v>375.78789270679101</v>
      </c>
      <c r="C5">
        <v>568.72066957338495</v>
      </c>
      <c r="D5">
        <v>47</v>
      </c>
      <c r="E5">
        <v>34.814814814814802</v>
      </c>
      <c r="F5">
        <v>530.33721114223499</v>
      </c>
      <c r="G5">
        <v>692.36159008755703</v>
      </c>
      <c r="H5">
        <v>40</v>
      </c>
      <c r="I5">
        <v>35.714285714285701</v>
      </c>
      <c r="J5">
        <v>83.262501139705805</v>
      </c>
      <c r="K5">
        <v>72.099115884955694</v>
      </c>
      <c r="L5">
        <v>73.3</v>
      </c>
      <c r="M5">
        <v>63.2</v>
      </c>
      <c r="N5">
        <v>86.200005000000004</v>
      </c>
      <c r="O5">
        <v>85</v>
      </c>
      <c r="P5">
        <v>1.9954742787685</v>
      </c>
      <c r="Q5">
        <v>8.0130080185913002</v>
      </c>
      <c r="R5">
        <v>-11.1633852547501</v>
      </c>
      <c r="S5" t="s">
        <v>37</v>
      </c>
      <c r="T5" t="s">
        <v>37</v>
      </c>
      <c r="U5" t="s">
        <v>39</v>
      </c>
      <c r="V5" t="s">
        <v>51</v>
      </c>
      <c r="W5" t="s">
        <v>41</v>
      </c>
      <c r="X5" t="s">
        <v>41</v>
      </c>
      <c r="Y5" t="s">
        <v>42</v>
      </c>
      <c r="Z5" t="s">
        <v>52</v>
      </c>
      <c r="AA5" t="s">
        <v>43</v>
      </c>
      <c r="AB5" t="s">
        <v>43</v>
      </c>
      <c r="AC5" s="3" cm="1">
        <f t="array" ref="AC5">SUMPRODUCT(S$56:S$59, EXP(-((S$56:S$59-S31)^2)/(2*S$61^2))*EXP(-S$63*MAX(0,S$56:S$59-2)))/SUM(EXP(-((S$56:S$59-S31)^2)/(2*S$61^2))*EXP(-S$63*MAX(0,S$56:S$59-2)))</f>
        <v>1.5194188435271037</v>
      </c>
      <c r="AD5" s="3" cm="1">
        <f t="array" ref="AD5">SUMPRODUCT(T$56:T$59, EXP(-((T$56:T$59-T31)^2)/(2*T$61^2))*EXP(-T$63*MAX(0,T$56:T$59-2)))/SUM(EXP(-((T$56:T$59-T31)^2)/(2*T$61^2))*EXP(-T$63*MAX(0,T$56:T$59-2)))</f>
        <v>1.5194188435271037</v>
      </c>
      <c r="AE5" s="3" cm="1">
        <f t="array" ref="AE5">SUMPRODUCT(U$56:U$59, EXP(-((U$56:U$59-U31)^2)/(2*U$61^2))*EXP(-U$63*MAX(0,U$56:U$59-1)))/SUM(EXP(-((U$56:U$59-U31)^2)/(2*U$61^2))*EXP(-U$63*MAX(0,U$56:U$59-1)))</f>
        <v>1.5194188435271037</v>
      </c>
      <c r="AF5" s="3" cm="1">
        <f t="array" ref="AF5">SUMPRODUCT(V$56:V$59, EXP(-((V$56:V$59-V31)^2)/(2*V$61^2))*EXP(-V$63*MAX(0,V$56:V$59-1)))/SUM(EXP(-((V$56:V$59-V31)^2)/(2*V$61^2))*EXP(-V$63*MAX(0,V$56:V$59-1)))</f>
        <v>2.8847423956556475</v>
      </c>
      <c r="AG5" s="3" cm="1">
        <f t="array" ref="AG5">SUMPRODUCT(Y$56:Y$58, EXP(-((Y$56:Y$58-Y31)^2)/(2*Y$61^2))*EXP(-Y$63*MAX(0,Y$56:Y$58-1)))/SUM(EXP(-((Y$56:Y$58-Y31)^2)/(2*Y$61^2))*EXP(-Y$63*MAX(0,Y$56:Y$58-1)))</f>
        <v>1.5035985861808761</v>
      </c>
      <c r="AH5" s="3" cm="1">
        <f t="array" ref="AH5">SUMPRODUCT(Z$56:Z$58, EXP(-((Z$56:Z$58-Z31)^2)/(2*Z$61^2))*EXP(-Z$63*MAX(0,Z$56:Z$58-2)))/SUM(EXP(-((Z$56:Z$58-Z31)^2)/(2*Z$61^2))*EXP(-Z$63*MAX(0,Z$56:Z$58-2)))</f>
        <v>2</v>
      </c>
      <c r="AI5" s="3" cm="1">
        <f t="array" ref="AI5">SUMPRODUCT(AA$56:AA$59, EXP(-((AA$56:AA$59-AA31)^2)/(2*AA$61^2))*EXP(-AA$63*ABS(AA$56:AA$59-1)))/SUM(EXP(-((AA$56:AA$59-AA31)^2)/(2*AA$61^2))*EXP(-AA$63*ABS(AA$56:AA$59-1)))</f>
        <v>2.0146887820263686</v>
      </c>
      <c r="AJ5" s="3" cm="1">
        <f t="array" ref="AJ5">SUMPRODUCT(AB$56:AB$59, EXP(-((AB$56:AB$59-AB31)^2)/(2*AB$61^2))*EXP(-AB$63*ABS(AB$56:AB$59-1)))/SUM(EXP(-((AB$56:AB$59-AB31)^2)/(2*AB$61^2))*EXP(-AB$63*ABS(AB$56:AB$59-1)))</f>
        <v>2.0146887820263686</v>
      </c>
    </row>
    <row r="6" spans="1:36">
      <c r="A6" t="s">
        <v>53</v>
      </c>
      <c r="B6">
        <v>50.395644094056898</v>
      </c>
      <c r="C6">
        <v>51.285170124498897</v>
      </c>
      <c r="D6">
        <v>3</v>
      </c>
      <c r="E6">
        <v>1.80722891566265</v>
      </c>
      <c r="F6">
        <v>182.208093994086</v>
      </c>
      <c r="G6">
        <v>217.95755642527601</v>
      </c>
      <c r="H6">
        <v>22</v>
      </c>
      <c r="I6">
        <v>15.8273381294964</v>
      </c>
      <c r="J6">
        <v>79.219761227544893</v>
      </c>
      <c r="K6">
        <v>68.245714842857097</v>
      </c>
      <c r="L6">
        <v>72.8</v>
      </c>
      <c r="M6">
        <v>61.100002000000003</v>
      </c>
      <c r="N6">
        <v>84.1</v>
      </c>
      <c r="O6">
        <v>81.5</v>
      </c>
      <c r="P6">
        <v>2.0832446461952201</v>
      </c>
      <c r="Q6">
        <v>5.1914062592414503</v>
      </c>
      <c r="R6">
        <v>-10.9740463846877</v>
      </c>
      <c r="S6" t="s">
        <v>54</v>
      </c>
      <c r="T6" t="s">
        <v>46</v>
      </c>
      <c r="U6" t="s">
        <v>39</v>
      </c>
      <c r="V6" t="s">
        <v>51</v>
      </c>
      <c r="W6" t="s">
        <v>40</v>
      </c>
      <c r="X6" t="s">
        <v>40</v>
      </c>
      <c r="Y6" t="s">
        <v>42</v>
      </c>
      <c r="Z6" t="s">
        <v>42</v>
      </c>
      <c r="AA6" t="s">
        <v>43</v>
      </c>
      <c r="AB6" t="s">
        <v>43</v>
      </c>
      <c r="AC6" s="3" cm="1">
        <f t="array" ref="AC6">SUMPRODUCT(S$56:S$59, EXP(-((S$56:S$59-S32)^2)/(2*S$61^2))*EXP(-S$63*MAX(0,S$56:S$59-2)))/SUM(EXP(-((S$56:S$59-S32)^2)/(2*S$61^2))*EXP(-S$63*MAX(0,S$56:S$59-2)))</f>
        <v>2.1152576043443529</v>
      </c>
      <c r="AD6" s="3" cm="1">
        <f t="array" ref="AD6">SUMPRODUCT(T$56:T$59, EXP(-((T$56:T$59-T32)^2)/(2*T$61^2))*EXP(-T$63*MAX(0,T$56:T$59-2)))/SUM(EXP(-((T$56:T$59-T32)^2)/(2*T$61^2))*EXP(-T$63*MAX(0,T$56:T$59-2)))</f>
        <v>2.8847423956556471</v>
      </c>
      <c r="AE6" s="3" cm="1">
        <f t="array" ref="AE6">SUMPRODUCT(U$56:U$59, EXP(-((U$56:U$59-U32)^2)/(2*U$61^2))*EXP(-U$63*MAX(0,U$56:U$59-1)))/SUM(EXP(-((U$56:U$59-U32)^2)/(2*U$61^2))*EXP(-U$63*MAX(0,U$56:U$59-1)))</f>
        <v>1.5194188435271037</v>
      </c>
      <c r="AF6" s="3" cm="1">
        <f t="array" ref="AF6">SUMPRODUCT(V$56:V$59, EXP(-((V$56:V$59-V32)^2)/(2*V$61^2))*EXP(-V$63*MAX(0,V$56:V$59-1)))/SUM(EXP(-((V$56:V$59-V32)^2)/(2*V$61^2))*EXP(-V$63*MAX(0,V$56:V$59-1)))</f>
        <v>2.8847423956556475</v>
      </c>
      <c r="AG6" s="3" cm="1">
        <f t="array" ref="AG6">SUMPRODUCT(Y$56:Y$58, EXP(-((Y$56:Y$58-Y32)^2)/(2*Y$61^2))*EXP(-Y$63*MAX(0,Y$56:Y$58-1)))/SUM(EXP(-((Y$56:Y$58-Y32)^2)/(2*Y$61^2))*EXP(-Y$63*MAX(0,Y$56:Y$58-1)))</f>
        <v>1.5035985861808761</v>
      </c>
      <c r="AH6" s="3" cm="1">
        <f t="array" ref="AH6">SUMPRODUCT(Z$56:Z$58, EXP(-((Z$56:Z$58-Z32)^2)/(2*Z$61^2))*EXP(-Z$63*MAX(0,Z$56:Z$58-2)))/SUM(EXP(-((Z$56:Z$58-Z32)^2)/(2*Z$61^2))*EXP(-Z$63*MAX(0,Z$56:Z$58-2)))</f>
        <v>1.5035985861808761</v>
      </c>
      <c r="AI6" s="3" cm="1">
        <f t="array" ref="AI6">SUMPRODUCT(AA$56:AA$59, EXP(-((AA$56:AA$59-AA32)^2)/(2*AA$61^2))*EXP(-AA$63*ABS(AA$56:AA$59-1)))/SUM(EXP(-((AA$56:AA$59-AA32)^2)/(2*AA$61^2))*EXP(-AA$63*ABS(AA$56:AA$59-1)))</f>
        <v>2.0146887820263686</v>
      </c>
      <c r="AJ6" s="3" cm="1">
        <f t="array" ref="AJ6">SUMPRODUCT(AB$56:AB$59, EXP(-((AB$56:AB$59-AB32)^2)/(2*AB$61^2))*EXP(-AB$63*ABS(AB$56:AB$59-1)))/SUM(EXP(-((AB$56:AB$59-AB32)^2)/(2*AB$61^2))*EXP(-AB$63*ABS(AB$56:AB$59-1)))</f>
        <v>2.0146887820263686</v>
      </c>
    </row>
    <row r="7" spans="1:36">
      <c r="A7" t="s">
        <v>55</v>
      </c>
      <c r="B7">
        <v>126.777201714105</v>
      </c>
      <c r="C7">
        <v>184.964554343896</v>
      </c>
      <c r="D7">
        <v>68</v>
      </c>
      <c r="E7">
        <v>51.515151515151501</v>
      </c>
      <c r="F7">
        <v>45.571783726729301</v>
      </c>
      <c r="G7">
        <v>38.016686551774001</v>
      </c>
      <c r="H7">
        <v>3</v>
      </c>
      <c r="I7">
        <v>2.0134228187919399</v>
      </c>
      <c r="J7">
        <v>71.409023571428506</v>
      </c>
      <c r="K7">
        <v>91.489334099999994</v>
      </c>
      <c r="L7">
        <v>64.700005000000004</v>
      </c>
      <c r="M7">
        <v>74.400000000000006</v>
      </c>
      <c r="N7">
        <v>79.099999999999994</v>
      </c>
      <c r="O7">
        <v>107.6</v>
      </c>
      <c r="P7">
        <v>3.5855655184498798</v>
      </c>
      <c r="Q7">
        <v>6.3983233839880498</v>
      </c>
      <c r="R7">
        <v>20.080310528571399</v>
      </c>
      <c r="S7" t="s">
        <v>37</v>
      </c>
      <c r="T7" t="s">
        <v>37</v>
      </c>
      <c r="U7" t="s">
        <v>39</v>
      </c>
      <c r="V7" t="s">
        <v>39</v>
      </c>
      <c r="W7" t="s">
        <v>41</v>
      </c>
      <c r="X7" t="s">
        <v>40</v>
      </c>
      <c r="Y7" t="s">
        <v>42</v>
      </c>
      <c r="Z7" t="s">
        <v>52</v>
      </c>
      <c r="AA7" t="s">
        <v>56</v>
      </c>
      <c r="AB7" t="s">
        <v>43</v>
      </c>
      <c r="AC7" s="3" cm="1">
        <f t="array" ref="AC7">SUMPRODUCT(S$56:S$59, EXP(-((S$56:S$59-S33)^2)/(2*S$61^2))*EXP(-S$63*MAX(0,S$56:S$59-2)))/SUM(EXP(-((S$56:S$59-S33)^2)/(2*S$61^2))*EXP(-S$63*MAX(0,S$56:S$59-2)))</f>
        <v>1.5194188435271037</v>
      </c>
      <c r="AD7" s="3" cm="1">
        <f t="array" ref="AD7">SUMPRODUCT(T$56:T$59, EXP(-((T$56:T$59-T33)^2)/(2*T$61^2))*EXP(-T$63*MAX(0,T$56:T$59-2)))/SUM(EXP(-((T$56:T$59-T33)^2)/(2*T$61^2))*EXP(-T$63*MAX(0,T$56:T$59-2)))</f>
        <v>1.5194188435271037</v>
      </c>
      <c r="AE7" s="3" cm="1">
        <f t="array" ref="AE7">SUMPRODUCT(U$56:U$59, EXP(-((U$56:U$59-U33)^2)/(2*U$61^2))*EXP(-U$63*MAX(0,U$56:U$59-1)))/SUM(EXP(-((U$56:U$59-U33)^2)/(2*U$61^2))*EXP(-U$63*MAX(0,U$56:U$59-1)))</f>
        <v>1.5194188435271037</v>
      </c>
      <c r="AF7" s="3" cm="1">
        <f t="array" ref="AF7">SUMPRODUCT(V$56:V$59, EXP(-((V$56:V$59-V33)^2)/(2*V$61^2))*EXP(-V$63*MAX(0,V$56:V$59-1)))/SUM(EXP(-((V$56:V$59-V33)^2)/(2*V$61^2))*EXP(-V$63*MAX(0,V$56:V$59-1)))</f>
        <v>1.5194188435271037</v>
      </c>
      <c r="AG7" s="3" cm="1">
        <f t="array" ref="AG7">SUMPRODUCT(Y$56:Y$58, EXP(-((Y$56:Y$58-Y33)^2)/(2*Y$61^2))*EXP(-Y$63*MAX(0,Y$56:Y$58-1)))/SUM(EXP(-((Y$56:Y$58-Y33)^2)/(2*Y$61^2))*EXP(-Y$63*MAX(0,Y$56:Y$58-1)))</f>
        <v>1.5035985861808761</v>
      </c>
      <c r="AH7" s="3" cm="1">
        <f t="array" ref="AH7">SUMPRODUCT(Z$56:Z$58, EXP(-((Z$56:Z$58-Z33)^2)/(2*Z$61^2))*EXP(-Z$63*MAX(0,Z$56:Z$58-2)))/SUM(EXP(-((Z$56:Z$58-Z33)^2)/(2*Z$61^2))*EXP(-Z$63*MAX(0,Z$56:Z$58-2)))</f>
        <v>2</v>
      </c>
      <c r="AI7" s="3" cm="1">
        <f t="array" ref="AI7">SUMPRODUCT(AA$56:AA$59, EXP(-((AA$56:AA$59-AA33)^2)/(2*AA$61^2))*EXP(-AA$63*ABS(AA$56:AA$59-1)))/SUM(EXP(-((AA$56:AA$59-AA33)^2)/(2*AA$61^2))*EXP(-AA$63*ABS(AA$56:AA$59-1)))</f>
        <v>3.4156623166236928</v>
      </c>
      <c r="AJ7" s="3" cm="1">
        <f t="array" ref="AJ7">SUMPRODUCT(AB$56:AB$59, EXP(-((AB$56:AB$59-AB33)^2)/(2*AB$61^2))*EXP(-AB$63*ABS(AB$56:AB$59-1)))/SUM(EXP(-((AB$56:AB$59-AB33)^2)/(2*AB$61^2))*EXP(-AB$63*ABS(AB$56:AB$59-1)))</f>
        <v>2.0146887820263686</v>
      </c>
    </row>
    <row r="8" spans="1:36">
      <c r="A8" t="s">
        <v>57</v>
      </c>
      <c r="B8">
        <v>25.686224907248299</v>
      </c>
      <c r="C8">
        <v>15.7099457417771</v>
      </c>
      <c r="D8">
        <v>1</v>
      </c>
      <c r="E8">
        <v>0.59880239520958001</v>
      </c>
      <c r="F8">
        <v>30.285721024257999</v>
      </c>
      <c r="G8">
        <v>28.306990555085701</v>
      </c>
      <c r="H8">
        <v>4</v>
      </c>
      <c r="I8">
        <v>8.1632653061224492</v>
      </c>
      <c r="J8">
        <v>79.742262916666604</v>
      </c>
      <c r="K8">
        <v>62.634827620000003</v>
      </c>
      <c r="L8">
        <v>75.599999999999994</v>
      </c>
      <c r="M8">
        <v>59.768321999999998</v>
      </c>
      <c r="N8">
        <v>85.6</v>
      </c>
      <c r="O8">
        <v>66.200005000000004</v>
      </c>
      <c r="P8">
        <v>2.42705546705603</v>
      </c>
      <c r="Q8">
        <v>1.4462423943693801</v>
      </c>
      <c r="R8">
        <v>-17.107435296666601</v>
      </c>
      <c r="S8" t="s">
        <v>54</v>
      </c>
      <c r="T8" t="s">
        <v>54</v>
      </c>
      <c r="U8" t="s">
        <v>39</v>
      </c>
      <c r="V8" t="s">
        <v>39</v>
      </c>
      <c r="W8" t="s">
        <v>40</v>
      </c>
      <c r="X8" t="s">
        <v>40</v>
      </c>
      <c r="Y8" t="s">
        <v>52</v>
      </c>
      <c r="Z8" t="s">
        <v>52</v>
      </c>
      <c r="AA8" t="s">
        <v>43</v>
      </c>
      <c r="AB8" t="s">
        <v>56</v>
      </c>
      <c r="AC8" s="3" cm="1">
        <f t="array" ref="AC8">SUMPRODUCT(S$56:S$59, EXP(-((S$56:S$59-S34)^2)/(2*S$61^2))*EXP(-S$63*MAX(0,S$56:S$59-2)))/SUM(EXP(-((S$56:S$59-S34)^2)/(2*S$61^2))*EXP(-S$63*MAX(0,S$56:S$59-2)))</f>
        <v>2.1152576043443529</v>
      </c>
      <c r="AD8" s="3" cm="1">
        <f t="array" ref="AD8">SUMPRODUCT(T$56:T$59, EXP(-((T$56:T$59-T34)^2)/(2*T$61^2))*EXP(-T$63*MAX(0,T$56:T$59-2)))/SUM(EXP(-((T$56:T$59-T34)^2)/(2*T$61^2))*EXP(-T$63*MAX(0,T$56:T$59-2)))</f>
        <v>2.1152576043443529</v>
      </c>
      <c r="AE8" s="3" cm="1">
        <f t="array" ref="AE8">SUMPRODUCT(U$56:U$59, EXP(-((U$56:U$59-U34)^2)/(2*U$61^2))*EXP(-U$63*MAX(0,U$56:U$59-1)))/SUM(EXP(-((U$56:U$59-U34)^2)/(2*U$61^2))*EXP(-U$63*MAX(0,U$56:U$59-1)))</f>
        <v>1.5194188435271037</v>
      </c>
      <c r="AF8" s="3" cm="1">
        <f t="array" ref="AF8">SUMPRODUCT(V$56:V$59, EXP(-((V$56:V$59-V34)^2)/(2*V$61^2))*EXP(-V$63*MAX(0,V$56:V$59-1)))/SUM(EXP(-((V$56:V$59-V34)^2)/(2*V$61^2))*EXP(-V$63*MAX(0,V$56:V$59-1)))</f>
        <v>1.5194188435271037</v>
      </c>
      <c r="AG8" s="3" cm="1">
        <f t="array" ref="AG8">SUMPRODUCT(Y$56:Y$58, EXP(-((Y$56:Y$58-Y34)^2)/(2*Y$61^2))*EXP(-Y$63*MAX(0,Y$56:Y$58-1)))/SUM(EXP(-((Y$56:Y$58-Y34)^2)/(2*Y$61^2))*EXP(-Y$63*MAX(0,Y$56:Y$58-1)))</f>
        <v>2</v>
      </c>
      <c r="AH8" s="3" cm="1">
        <f t="array" ref="AH8">SUMPRODUCT(Z$56:Z$58, EXP(-((Z$56:Z$58-Z34)^2)/(2*Z$61^2))*EXP(-Z$63*MAX(0,Z$56:Z$58-2)))/SUM(EXP(-((Z$56:Z$58-Z34)^2)/(2*Z$61^2))*EXP(-Z$63*MAX(0,Z$56:Z$58-2)))</f>
        <v>2</v>
      </c>
      <c r="AI8" s="3" cm="1">
        <f t="array" ref="AI8">SUMPRODUCT(AA$56:AA$59, EXP(-((AA$56:AA$59-AA34)^2)/(2*AA$61^2))*EXP(-AA$63*ABS(AA$56:AA$59-1)))/SUM(EXP(-((AA$56:AA$59-AA34)^2)/(2*AA$61^2))*EXP(-AA$63*ABS(AA$56:AA$59-1)))</f>
        <v>2.0146887820263686</v>
      </c>
      <c r="AJ8" s="3" cm="1">
        <f t="array" ref="AJ8">SUMPRODUCT(AB$56:AB$59, EXP(-((AB$56:AB$59-AB34)^2)/(2*AB$61^2))*EXP(-AB$63*ABS(AB$56:AB$59-1)))/SUM(EXP(-((AB$56:AB$59-AB34)^2)/(2*AB$61^2))*EXP(-AB$63*ABS(AB$56:AB$59-1)))</f>
        <v>3.4156623166236928</v>
      </c>
    </row>
    <row r="9" spans="1:36">
      <c r="A9" t="s">
        <v>58</v>
      </c>
      <c r="B9">
        <v>87.734921174197297</v>
      </c>
      <c r="C9">
        <v>76.266200464775494</v>
      </c>
      <c r="D9">
        <v>32</v>
      </c>
      <c r="E9">
        <v>53.3333333333333</v>
      </c>
      <c r="F9">
        <v>233.771699314084</v>
      </c>
      <c r="G9">
        <v>337.24433811369403</v>
      </c>
      <c r="H9">
        <v>28</v>
      </c>
      <c r="I9">
        <v>35.897435897435898</v>
      </c>
      <c r="J9">
        <v>64.639345180327794</v>
      </c>
      <c r="K9">
        <v>74.515190316455602</v>
      </c>
      <c r="L9">
        <v>60.100002000000003</v>
      </c>
      <c r="M9">
        <v>70.5</v>
      </c>
      <c r="N9">
        <v>74.5</v>
      </c>
      <c r="O9">
        <v>79.700005000000004</v>
      </c>
      <c r="P9">
        <v>3.7069882167875701</v>
      </c>
      <c r="Q9">
        <v>2.5559430496262801</v>
      </c>
      <c r="R9">
        <v>9.8758451361278006</v>
      </c>
      <c r="S9" t="s">
        <v>37</v>
      </c>
      <c r="T9" t="s">
        <v>37</v>
      </c>
      <c r="U9" t="s">
        <v>39</v>
      </c>
      <c r="V9" t="s">
        <v>39</v>
      </c>
      <c r="W9" t="s">
        <v>41</v>
      </c>
      <c r="X9" t="s">
        <v>41</v>
      </c>
      <c r="Y9" t="s">
        <v>48</v>
      </c>
      <c r="Z9" t="s">
        <v>52</v>
      </c>
      <c r="AA9" t="s">
        <v>44</v>
      </c>
      <c r="AB9" t="s">
        <v>43</v>
      </c>
      <c r="AC9" s="3" cm="1">
        <f t="array" ref="AC9">SUMPRODUCT(S$56:S$59, EXP(-((S$56:S$59-S35)^2)/(2*S$61^2))*EXP(-S$63*MAX(0,S$56:S$59-2)))/SUM(EXP(-((S$56:S$59-S35)^2)/(2*S$61^2))*EXP(-S$63*MAX(0,S$56:S$59-2)))</f>
        <v>1.5194188435271037</v>
      </c>
      <c r="AD9" s="3" cm="1">
        <f t="array" ref="AD9">SUMPRODUCT(T$56:T$59, EXP(-((T$56:T$59-T35)^2)/(2*T$61^2))*EXP(-T$63*MAX(0,T$56:T$59-2)))/SUM(EXP(-((T$56:T$59-T35)^2)/(2*T$61^2))*EXP(-T$63*MAX(0,T$56:T$59-2)))</f>
        <v>1.5194188435271037</v>
      </c>
      <c r="AE9" s="3" cm="1">
        <f t="array" ref="AE9">SUMPRODUCT(U$56:U$59, EXP(-((U$56:U$59-U35)^2)/(2*U$61^2))*EXP(-U$63*MAX(0,U$56:U$59-1)))/SUM(EXP(-((U$56:U$59-U35)^2)/(2*U$61^2))*EXP(-U$63*MAX(0,U$56:U$59-1)))</f>
        <v>1.5194188435271037</v>
      </c>
      <c r="AF9" s="3" cm="1">
        <f t="array" ref="AF9">SUMPRODUCT(V$56:V$59, EXP(-((V$56:V$59-V35)^2)/(2*V$61^2))*EXP(-V$63*MAX(0,V$56:V$59-1)))/SUM(EXP(-((V$56:V$59-V35)^2)/(2*V$61^2))*EXP(-V$63*MAX(0,V$56:V$59-1)))</f>
        <v>1.5194188435271037</v>
      </c>
      <c r="AG9" s="3" cm="1">
        <f t="array" ref="AG9">SUMPRODUCT(Y$56:Y$58, EXP(-((Y$56:Y$58-Y35)^2)/(2*Y$61^2))*EXP(-Y$63*MAX(0,Y$56:Y$58-1)))/SUM(EXP(-((Y$56:Y$58-Y35)^2)/(2*Y$61^2))*EXP(-Y$63*MAX(0,Y$56:Y$58-1)))</f>
        <v>2.4964014138191239</v>
      </c>
      <c r="AH9" s="3" cm="1">
        <f t="array" ref="AH9">SUMPRODUCT(Z$56:Z$58, EXP(-((Z$56:Z$58-Z35)^2)/(2*Z$61^2))*EXP(-Z$63*MAX(0,Z$56:Z$58-2)))/SUM(EXP(-((Z$56:Z$58-Z35)^2)/(2*Z$61^2))*EXP(-Z$63*MAX(0,Z$56:Z$58-2)))</f>
        <v>2</v>
      </c>
      <c r="AI9" s="3" cm="1">
        <f t="array" ref="AI9">SUMPRODUCT(AA$56:AA$59, EXP(-((AA$56:AA$59-AA35)^2)/(2*AA$61^2))*EXP(-AA$63*ABS(AA$56:AA$59-1)))/SUM(EXP(-((AA$56:AA$59-AA35)^2)/(2*AA$61^2))*EXP(-AA$63*ABS(AA$56:AA$59-1)))</f>
        <v>2.7801545234284921</v>
      </c>
      <c r="AJ9" s="3" cm="1">
        <f t="array" ref="AJ9">SUMPRODUCT(AB$56:AB$59, EXP(-((AB$56:AB$59-AB35)^2)/(2*AB$61^2))*EXP(-AB$63*ABS(AB$56:AB$59-1)))/SUM(EXP(-((AB$56:AB$59-AB35)^2)/(2*AB$61^2))*EXP(-AB$63*ABS(AB$56:AB$59-1)))</f>
        <v>2.0146887820263686</v>
      </c>
    </row>
    <row r="10" spans="1:36">
      <c r="A10" t="s">
        <v>59</v>
      </c>
      <c r="B10">
        <v>27.430839301185099</v>
      </c>
      <c r="C10">
        <v>22.266496693463001</v>
      </c>
      <c r="D10">
        <v>4</v>
      </c>
      <c r="E10">
        <v>3.125</v>
      </c>
      <c r="F10">
        <v>379.42542629490703</v>
      </c>
      <c r="G10">
        <v>567.34855527935304</v>
      </c>
      <c r="H10">
        <v>10</v>
      </c>
      <c r="I10">
        <v>9.3457943925233593</v>
      </c>
      <c r="J10">
        <v>66.733334054263494</v>
      </c>
      <c r="K10">
        <v>56.761111537037003</v>
      </c>
      <c r="L10">
        <v>62.100002000000003</v>
      </c>
      <c r="M10">
        <v>54.600002000000003</v>
      </c>
      <c r="N10">
        <v>80</v>
      </c>
      <c r="O10">
        <v>65.5</v>
      </c>
      <c r="P10">
        <v>4.6630584014369001</v>
      </c>
      <c r="Q10">
        <v>2.4489111558026</v>
      </c>
      <c r="R10">
        <v>-9.9722225172265393</v>
      </c>
      <c r="S10" t="s">
        <v>37</v>
      </c>
      <c r="T10" t="s">
        <v>46</v>
      </c>
      <c r="U10" t="s">
        <v>39</v>
      </c>
      <c r="V10" t="s">
        <v>39</v>
      </c>
      <c r="W10" t="s">
        <v>40</v>
      </c>
      <c r="X10" t="s">
        <v>40</v>
      </c>
      <c r="Y10" t="s">
        <v>42</v>
      </c>
      <c r="Z10" t="s">
        <v>42</v>
      </c>
      <c r="AA10" t="s">
        <v>43</v>
      </c>
      <c r="AB10" t="s">
        <v>44</v>
      </c>
      <c r="AC10" s="3" cm="1">
        <f t="array" ref="AC10">SUMPRODUCT(S$56:S$59, EXP(-((S$56:S$59-S36)^2)/(2*S$61^2))*EXP(-S$63*MAX(0,S$56:S$59-2)))/SUM(EXP(-((S$56:S$59-S36)^2)/(2*S$61^2))*EXP(-S$63*MAX(0,S$56:S$59-2)))</f>
        <v>1.5194188435271037</v>
      </c>
      <c r="AD10" s="3" cm="1">
        <f t="array" ref="AD10">SUMPRODUCT(T$56:T$59, EXP(-((T$56:T$59-T36)^2)/(2*T$61^2))*EXP(-T$63*MAX(0,T$56:T$59-2)))/SUM(EXP(-((T$56:T$59-T36)^2)/(2*T$61^2))*EXP(-T$63*MAX(0,T$56:T$59-2)))</f>
        <v>2.8847423956556471</v>
      </c>
      <c r="AE10" s="3" cm="1">
        <f t="array" ref="AE10">SUMPRODUCT(U$56:U$59, EXP(-((U$56:U$59-U36)^2)/(2*U$61^2))*EXP(-U$63*MAX(0,U$56:U$59-1)))/SUM(EXP(-((U$56:U$59-U36)^2)/(2*U$61^2))*EXP(-U$63*MAX(0,U$56:U$59-1)))</f>
        <v>1.5194188435271037</v>
      </c>
      <c r="AF10" s="3" cm="1">
        <f t="array" ref="AF10">SUMPRODUCT(V$56:V$59, EXP(-((V$56:V$59-V36)^2)/(2*V$61^2))*EXP(-V$63*MAX(0,V$56:V$59-1)))/SUM(EXP(-((V$56:V$59-V36)^2)/(2*V$61^2))*EXP(-V$63*MAX(0,V$56:V$59-1)))</f>
        <v>1.5194188435271037</v>
      </c>
      <c r="AG10" s="3" cm="1">
        <f t="array" ref="AG10">SUMPRODUCT(Y$56:Y$58, EXP(-((Y$56:Y$58-Y36)^2)/(2*Y$61^2))*EXP(-Y$63*MAX(0,Y$56:Y$58-1)))/SUM(EXP(-((Y$56:Y$58-Y36)^2)/(2*Y$61^2))*EXP(-Y$63*MAX(0,Y$56:Y$58-1)))</f>
        <v>1.5035985861808761</v>
      </c>
      <c r="AH10" s="3" cm="1">
        <f t="array" ref="AH10">SUMPRODUCT(Z$56:Z$58, EXP(-((Z$56:Z$58-Z36)^2)/(2*Z$61^2))*EXP(-Z$63*MAX(0,Z$56:Z$58-2)))/SUM(EXP(-((Z$56:Z$58-Z36)^2)/(2*Z$61^2))*EXP(-Z$63*MAX(0,Z$56:Z$58-2)))</f>
        <v>1.5035985861808761</v>
      </c>
      <c r="AI10" s="3" cm="1">
        <f t="array" ref="AI10">SUMPRODUCT(AA$56:AA$59, EXP(-((AA$56:AA$59-AA36)^2)/(2*AA$61^2))*EXP(-AA$63*ABS(AA$56:AA$59-1)))/SUM(EXP(-((AA$56:AA$59-AA36)^2)/(2*AA$61^2))*EXP(-AA$63*ABS(AA$56:AA$59-1)))</f>
        <v>2.0146887820263686</v>
      </c>
      <c r="AJ10" s="3" cm="1">
        <f t="array" ref="AJ10">SUMPRODUCT(AB$56:AB$59, EXP(-((AB$56:AB$59-AB36)^2)/(2*AB$61^2))*EXP(-AB$63*ABS(AB$56:AB$59-1)))/SUM(EXP(-((AB$56:AB$59-AB36)^2)/(2*AB$61^2))*EXP(-AB$63*ABS(AB$56:AB$59-1)))</f>
        <v>2.7801545234284921</v>
      </c>
    </row>
    <row r="11" spans="1:36">
      <c r="A11" t="s">
        <v>60</v>
      </c>
      <c r="B11">
        <v>1626.4718350272699</v>
      </c>
      <c r="C11">
        <v>2078.8813231051799</v>
      </c>
      <c r="D11">
        <v>37</v>
      </c>
      <c r="E11">
        <v>51.3888888888888</v>
      </c>
      <c r="F11">
        <v>22.675994506660199</v>
      </c>
      <c r="G11">
        <v>9.5487214951416792</v>
      </c>
      <c r="H11">
        <v>0</v>
      </c>
      <c r="I11">
        <v>0</v>
      </c>
      <c r="J11">
        <v>65.960274342465695</v>
      </c>
      <c r="K11">
        <v>74.330613503401295</v>
      </c>
      <c r="L11">
        <v>58.7</v>
      </c>
      <c r="M11">
        <v>70.3</v>
      </c>
      <c r="N11">
        <v>74.099999999999994</v>
      </c>
      <c r="O11">
        <v>78.200005000000004</v>
      </c>
      <c r="P11">
        <v>5.2930964617784699</v>
      </c>
      <c r="Q11">
        <v>1.8749840393332</v>
      </c>
      <c r="R11">
        <v>8.3703391609355808</v>
      </c>
      <c r="S11" t="s">
        <v>54</v>
      </c>
      <c r="T11" t="s">
        <v>37</v>
      </c>
      <c r="U11" t="s">
        <v>38</v>
      </c>
      <c r="V11" t="s">
        <v>38</v>
      </c>
      <c r="W11" t="s">
        <v>40</v>
      </c>
      <c r="X11" t="s">
        <v>40</v>
      </c>
      <c r="Y11" t="s">
        <v>52</v>
      </c>
      <c r="Z11" t="s">
        <v>52</v>
      </c>
      <c r="AA11" t="s">
        <v>43</v>
      </c>
      <c r="AB11" t="s">
        <v>61</v>
      </c>
      <c r="AC11" s="3" cm="1">
        <f t="array" ref="AC11">SUMPRODUCT(S$56:S$59, EXP(-((S$56:S$59-S37)^2)/(2*S$61^2))*EXP(-S$63*MAX(0,S$56:S$59-2)))/SUM(EXP(-((S$56:S$59-S37)^2)/(2*S$61^2))*EXP(-S$63*MAX(0,S$56:S$59-2)))</f>
        <v>2.1152576043443529</v>
      </c>
      <c r="AD11" s="3" cm="1">
        <f t="array" ref="AD11">SUMPRODUCT(T$56:T$59, EXP(-((T$56:T$59-T37)^2)/(2*T$61^2))*EXP(-T$63*MAX(0,T$56:T$59-2)))/SUM(EXP(-((T$56:T$59-T37)^2)/(2*T$61^2))*EXP(-T$63*MAX(0,T$56:T$59-2)))</f>
        <v>1.5194188435271037</v>
      </c>
      <c r="AE11" s="3" cm="1">
        <f t="array" ref="AE11">SUMPRODUCT(U$56:U$59, EXP(-((U$56:U$59-U37)^2)/(2*U$61^2))*EXP(-U$63*MAX(0,U$56:U$59-1)))/SUM(EXP(-((U$56:U$59-U37)^2)/(2*U$61^2))*EXP(-U$63*MAX(0,U$56:U$59-1)))</f>
        <v>2.1152576043443529</v>
      </c>
      <c r="AF11" s="3" cm="1">
        <f t="array" ref="AF11">SUMPRODUCT(V$56:V$59, EXP(-((V$56:V$59-V37)^2)/(2*V$61^2))*EXP(-V$63*MAX(0,V$56:V$59-1)))/SUM(EXP(-((V$56:V$59-V37)^2)/(2*V$61^2))*EXP(-V$63*MAX(0,V$56:V$59-1)))</f>
        <v>2.1152576043443529</v>
      </c>
      <c r="AG11" s="3" cm="1">
        <f t="array" ref="AG11">SUMPRODUCT(Y$56:Y$58, EXP(-((Y$56:Y$58-Y37)^2)/(2*Y$61^2))*EXP(-Y$63*MAX(0,Y$56:Y$58-1)))/SUM(EXP(-((Y$56:Y$58-Y37)^2)/(2*Y$61^2))*EXP(-Y$63*MAX(0,Y$56:Y$58-1)))</f>
        <v>2</v>
      </c>
      <c r="AH11" s="3" cm="1">
        <f t="array" ref="AH11">SUMPRODUCT(Z$56:Z$58, EXP(-((Z$56:Z$58-Z37)^2)/(2*Z$61^2))*EXP(-Z$63*MAX(0,Z$56:Z$58-2)))/SUM(EXP(-((Z$56:Z$58-Z37)^2)/(2*Z$61^2))*EXP(-Z$63*MAX(0,Z$56:Z$58-2)))</f>
        <v>2</v>
      </c>
      <c r="AI11" s="3" cm="1">
        <f t="array" ref="AI11">SUMPRODUCT(AA$56:AA$59, EXP(-((AA$56:AA$59-AA37)^2)/(2*AA$61^2))*EXP(-AA$63*ABS(AA$56:AA$59-1)))/SUM(EXP(-((AA$56:AA$59-AA37)^2)/(2*AA$61^2))*EXP(-AA$63*ABS(AA$56:AA$59-1)))</f>
        <v>2.0146887820263686</v>
      </c>
      <c r="AJ11" s="3" cm="1">
        <f t="array" ref="AJ11">SUMPRODUCT(AB$56:AB$59, EXP(-((AB$56:AB$59-AB37)^2)/(2*AB$61^2))*EXP(-AB$63*ABS(AB$56:AB$59-1)))/SUM(EXP(-((AB$56:AB$59-AB37)^2)/(2*AB$61^2))*EXP(-AB$63*ABS(AB$56:AB$59-1)))</f>
        <v>1.4604859132835084</v>
      </c>
    </row>
    <row r="12" spans="1:36">
      <c r="A12" t="s">
        <v>62</v>
      </c>
      <c r="B12">
        <v>1050.92256975433</v>
      </c>
      <c r="C12">
        <v>1475.6769294123901</v>
      </c>
      <c r="D12">
        <v>16</v>
      </c>
      <c r="E12">
        <v>80</v>
      </c>
      <c r="F12">
        <v>28.735662017864399</v>
      </c>
      <c r="G12">
        <v>10.315037566582101</v>
      </c>
      <c r="H12">
        <v>0</v>
      </c>
      <c r="I12">
        <v>0</v>
      </c>
      <c r="J12">
        <v>83.795238095238005</v>
      </c>
      <c r="K12">
        <v>81.471605555555499</v>
      </c>
      <c r="L12">
        <v>83.1</v>
      </c>
      <c r="M12">
        <v>77.200005000000004</v>
      </c>
      <c r="N12">
        <v>84</v>
      </c>
      <c r="O12">
        <v>87.5</v>
      </c>
      <c r="P12">
        <v>0.299125710155766</v>
      </c>
      <c r="Q12">
        <v>3.1506838924227001</v>
      </c>
      <c r="R12">
        <v>-2.3236325396825301</v>
      </c>
      <c r="S12" t="s">
        <v>37</v>
      </c>
      <c r="T12" t="s">
        <v>37</v>
      </c>
      <c r="U12" t="s">
        <v>39</v>
      </c>
      <c r="V12" t="s">
        <v>38</v>
      </c>
      <c r="W12" t="s">
        <v>41</v>
      </c>
      <c r="X12" t="s">
        <v>41</v>
      </c>
      <c r="Y12" t="s">
        <v>42</v>
      </c>
      <c r="Z12" t="s">
        <v>42</v>
      </c>
      <c r="AA12" t="s">
        <v>56</v>
      </c>
      <c r="AB12" t="s">
        <v>61</v>
      </c>
      <c r="AC12" s="3" cm="1">
        <f t="array" ref="AC12">SUMPRODUCT(S$56:S$59, EXP(-((S$56:S$59-S38)^2)/(2*S$61^2))*EXP(-S$63*MAX(0,S$56:S$59-2)))/SUM(EXP(-((S$56:S$59-S38)^2)/(2*S$61^2))*EXP(-S$63*MAX(0,S$56:S$59-2)))</f>
        <v>1.5194188435271037</v>
      </c>
      <c r="AD12" s="3" cm="1">
        <f t="array" ref="AD12">SUMPRODUCT(T$56:T$59, EXP(-((T$56:T$59-T38)^2)/(2*T$61^2))*EXP(-T$63*MAX(0,T$56:T$59-2)))/SUM(EXP(-((T$56:T$59-T38)^2)/(2*T$61^2))*EXP(-T$63*MAX(0,T$56:T$59-2)))</f>
        <v>1.5194188435271037</v>
      </c>
      <c r="AE12" s="3" cm="1">
        <f t="array" ref="AE12">SUMPRODUCT(U$56:U$59, EXP(-((U$56:U$59-U38)^2)/(2*U$61^2))*EXP(-U$63*MAX(0,U$56:U$59-1)))/SUM(EXP(-((U$56:U$59-U38)^2)/(2*U$61^2))*EXP(-U$63*MAX(0,U$56:U$59-1)))</f>
        <v>1.5194188435271037</v>
      </c>
      <c r="AF12" s="3" cm="1">
        <f t="array" ref="AF12">SUMPRODUCT(V$56:V$59, EXP(-((V$56:V$59-V38)^2)/(2*V$61^2))*EXP(-V$63*MAX(0,V$56:V$59-1)))/SUM(EXP(-((V$56:V$59-V38)^2)/(2*V$61^2))*EXP(-V$63*MAX(0,V$56:V$59-1)))</f>
        <v>2.1152576043443529</v>
      </c>
      <c r="AG12" s="3" cm="1">
        <f t="array" ref="AG12">SUMPRODUCT(Y$56:Y$58, EXP(-((Y$56:Y$58-Y38)^2)/(2*Y$61^2))*EXP(-Y$63*MAX(0,Y$56:Y$58-1)))/SUM(EXP(-((Y$56:Y$58-Y38)^2)/(2*Y$61^2))*EXP(-Y$63*MAX(0,Y$56:Y$58-1)))</f>
        <v>1.5035985861808761</v>
      </c>
      <c r="AH12" s="3" cm="1">
        <f t="array" ref="AH12">SUMPRODUCT(Z$56:Z$58, EXP(-((Z$56:Z$58-Z38)^2)/(2*Z$61^2))*EXP(-Z$63*MAX(0,Z$56:Z$58-2)))/SUM(EXP(-((Z$56:Z$58-Z38)^2)/(2*Z$61^2))*EXP(-Z$63*MAX(0,Z$56:Z$58-2)))</f>
        <v>1.5035985861808761</v>
      </c>
      <c r="AI12" s="3" cm="1">
        <f t="array" ref="AI12">SUMPRODUCT(AA$56:AA$59, EXP(-((AA$56:AA$59-AA38)^2)/(2*AA$61^2))*EXP(-AA$63*ABS(AA$56:AA$59-1)))/SUM(EXP(-((AA$56:AA$59-AA38)^2)/(2*AA$61^2))*EXP(-AA$63*ABS(AA$56:AA$59-1)))</f>
        <v>3.4156623166236928</v>
      </c>
      <c r="AJ12" s="3" cm="1">
        <f t="array" ref="AJ12">SUMPRODUCT(AB$56:AB$59, EXP(-((AB$56:AB$59-AB38)^2)/(2*AB$61^2))*EXP(-AB$63*ABS(AB$56:AB$59-1)))/SUM(EXP(-((AB$56:AB$59-AB38)^2)/(2*AB$61^2))*EXP(-AB$63*ABS(AB$56:AB$59-1)))</f>
        <v>1.4604859132835084</v>
      </c>
    </row>
    <row r="13" spans="1:36">
      <c r="A13" t="s">
        <v>63</v>
      </c>
      <c r="B13">
        <v>8500.3205959147999</v>
      </c>
      <c r="C13">
        <v>9839.7913539306701</v>
      </c>
      <c r="D13">
        <v>9</v>
      </c>
      <c r="E13">
        <v>100</v>
      </c>
      <c r="F13">
        <v>184.15493068388901</v>
      </c>
      <c r="G13">
        <v>249.441407695306</v>
      </c>
      <c r="H13">
        <v>34</v>
      </c>
      <c r="I13">
        <v>26.984126984126899</v>
      </c>
      <c r="J13">
        <v>82.200005000000004</v>
      </c>
      <c r="K13">
        <v>64.534646346456697</v>
      </c>
      <c r="L13">
        <v>82.200005000000004</v>
      </c>
      <c r="M13">
        <v>59.4</v>
      </c>
      <c r="N13">
        <v>82.200005000000004</v>
      </c>
      <c r="O13">
        <v>72.400000000000006</v>
      </c>
      <c r="P13" s="1">
        <v>1.49795561325939E-14</v>
      </c>
      <c r="Q13">
        <v>3.0912417219144102</v>
      </c>
      <c r="R13">
        <v>-17.665358653543201</v>
      </c>
      <c r="S13" t="s">
        <v>37</v>
      </c>
      <c r="T13" t="s">
        <v>54</v>
      </c>
      <c r="U13" t="s">
        <v>39</v>
      </c>
      <c r="V13" t="s">
        <v>39</v>
      </c>
      <c r="W13" t="s">
        <v>40</v>
      </c>
      <c r="X13" t="s">
        <v>41</v>
      </c>
      <c r="Y13" t="s">
        <v>52</v>
      </c>
      <c r="Z13" t="s">
        <v>52</v>
      </c>
      <c r="AA13" t="s">
        <v>43</v>
      </c>
      <c r="AB13" t="s">
        <v>44</v>
      </c>
      <c r="AC13" s="3" cm="1">
        <f t="array" ref="AC13">SUMPRODUCT(S$56:S$59, EXP(-((S$56:S$59-S39)^2)/(2*S$61^2))*EXP(-S$63*MAX(0,S$56:S$59-2)))/SUM(EXP(-((S$56:S$59-S39)^2)/(2*S$61^2))*EXP(-S$63*MAX(0,S$56:S$59-2)))</f>
        <v>1.5194188435271037</v>
      </c>
      <c r="AD13" s="3" cm="1">
        <f t="array" ref="AD13">SUMPRODUCT(T$56:T$59, EXP(-((T$56:T$59-T39)^2)/(2*T$61^2))*EXP(-T$63*MAX(0,T$56:T$59-2)))/SUM(EXP(-((T$56:T$59-T39)^2)/(2*T$61^2))*EXP(-T$63*MAX(0,T$56:T$59-2)))</f>
        <v>2.1152576043443529</v>
      </c>
      <c r="AE13" s="3" cm="1">
        <f t="array" ref="AE13">SUMPRODUCT(U$56:U$59, EXP(-((U$56:U$59-U39)^2)/(2*U$61^2))*EXP(-U$63*MAX(0,U$56:U$59-1)))/SUM(EXP(-((U$56:U$59-U39)^2)/(2*U$61^2))*EXP(-U$63*MAX(0,U$56:U$59-1)))</f>
        <v>1.5194188435271037</v>
      </c>
      <c r="AF13" s="3" cm="1">
        <f t="array" ref="AF13">SUMPRODUCT(V$56:V$59, EXP(-((V$56:V$59-V39)^2)/(2*V$61^2))*EXP(-V$63*MAX(0,V$56:V$59-1)))/SUM(EXP(-((V$56:V$59-V39)^2)/(2*V$61^2))*EXP(-V$63*MAX(0,V$56:V$59-1)))</f>
        <v>1.5194188435271037</v>
      </c>
      <c r="AG13" s="3" cm="1">
        <f t="array" ref="AG13">SUMPRODUCT(Y$56:Y$58, EXP(-((Y$56:Y$58-Y39)^2)/(2*Y$61^2))*EXP(-Y$63*MAX(0,Y$56:Y$58-1)))/SUM(EXP(-((Y$56:Y$58-Y39)^2)/(2*Y$61^2))*EXP(-Y$63*MAX(0,Y$56:Y$58-1)))</f>
        <v>2</v>
      </c>
      <c r="AH13" s="3" cm="1">
        <f t="array" ref="AH13">SUMPRODUCT(Z$56:Z$58, EXP(-((Z$56:Z$58-Z39)^2)/(2*Z$61^2))*EXP(-Z$63*MAX(0,Z$56:Z$58-2)))/SUM(EXP(-((Z$56:Z$58-Z39)^2)/(2*Z$61^2))*EXP(-Z$63*MAX(0,Z$56:Z$58-2)))</f>
        <v>2</v>
      </c>
      <c r="AI13" s="3" cm="1">
        <f t="array" ref="AI13">SUMPRODUCT(AA$56:AA$59, EXP(-((AA$56:AA$59-AA39)^2)/(2*AA$61^2))*EXP(-AA$63*ABS(AA$56:AA$59-1)))/SUM(EXP(-((AA$56:AA$59-AA39)^2)/(2*AA$61^2))*EXP(-AA$63*ABS(AA$56:AA$59-1)))</f>
        <v>2.0146887820263686</v>
      </c>
      <c r="AJ13" s="3" cm="1">
        <f t="array" ref="AJ13">SUMPRODUCT(AB$56:AB$59, EXP(-((AB$56:AB$59-AB39)^2)/(2*AB$61^2))*EXP(-AB$63*ABS(AB$56:AB$59-1)))/SUM(EXP(-((AB$56:AB$59-AB39)^2)/(2*AB$61^2))*EXP(-AB$63*ABS(AB$56:AB$59-1)))</f>
        <v>2.7801545234284921</v>
      </c>
    </row>
    <row r="14" spans="1:36">
      <c r="A14" t="s">
        <v>64</v>
      </c>
      <c r="B14">
        <v>10737.4851464032</v>
      </c>
      <c r="C14">
        <v>12518.130767677199</v>
      </c>
      <c r="D14">
        <v>9</v>
      </c>
      <c r="E14">
        <v>75</v>
      </c>
      <c r="F14">
        <v>116.10440089974</v>
      </c>
      <c r="G14">
        <v>112.577034103741</v>
      </c>
      <c r="H14">
        <v>22</v>
      </c>
      <c r="I14">
        <v>13.9240506329113</v>
      </c>
      <c r="J14">
        <v>101.5</v>
      </c>
      <c r="K14">
        <v>78.011950628930805</v>
      </c>
      <c r="L14">
        <v>101.5</v>
      </c>
      <c r="M14">
        <v>70.599999999999994</v>
      </c>
      <c r="N14">
        <v>101.5</v>
      </c>
      <c r="O14">
        <v>101.5</v>
      </c>
      <c r="P14">
        <v>0</v>
      </c>
      <c r="Q14">
        <v>6.4159151290459997</v>
      </c>
      <c r="R14">
        <v>-23.488049371069099</v>
      </c>
      <c r="S14" t="s">
        <v>37</v>
      </c>
      <c r="T14" t="s">
        <v>46</v>
      </c>
      <c r="U14" t="s">
        <v>38</v>
      </c>
      <c r="V14" t="s">
        <v>39</v>
      </c>
      <c r="W14" t="s">
        <v>41</v>
      </c>
      <c r="X14" t="s">
        <v>41</v>
      </c>
      <c r="Y14" t="s">
        <v>42</v>
      </c>
      <c r="Z14" t="s">
        <v>42</v>
      </c>
      <c r="AA14" t="s">
        <v>56</v>
      </c>
      <c r="AB14" t="s">
        <v>43</v>
      </c>
      <c r="AC14" s="3" cm="1">
        <f t="array" ref="AC14">SUMPRODUCT(S$56:S$59, EXP(-((S$56:S$59-S40)^2)/(2*S$61^2))*EXP(-S$63*MAX(0,S$56:S$59-2)))/SUM(EXP(-((S$56:S$59-S40)^2)/(2*S$61^2))*EXP(-S$63*MAX(0,S$56:S$59-2)))</f>
        <v>1.5194188435271037</v>
      </c>
      <c r="AD14" s="3" cm="1">
        <f t="array" ref="AD14">SUMPRODUCT(T$56:T$59, EXP(-((T$56:T$59-T40)^2)/(2*T$61^2))*EXP(-T$63*MAX(0,T$56:T$59-2)))/SUM(EXP(-((T$56:T$59-T40)^2)/(2*T$61^2))*EXP(-T$63*MAX(0,T$56:T$59-2)))</f>
        <v>2.8847423956556471</v>
      </c>
      <c r="AE14" s="3" cm="1">
        <f t="array" ref="AE14">SUMPRODUCT(U$56:U$59, EXP(-((U$56:U$59-U40)^2)/(2*U$61^2))*EXP(-U$63*MAX(0,U$56:U$59-1)))/SUM(EXP(-((U$56:U$59-U40)^2)/(2*U$61^2))*EXP(-U$63*MAX(0,U$56:U$59-1)))</f>
        <v>2.1152576043443529</v>
      </c>
      <c r="AF14" s="3" cm="1">
        <f t="array" ref="AF14">SUMPRODUCT(V$56:V$59, EXP(-((V$56:V$59-V40)^2)/(2*V$61^2))*EXP(-V$63*MAX(0,V$56:V$59-1)))/SUM(EXP(-((V$56:V$59-V40)^2)/(2*V$61^2))*EXP(-V$63*MAX(0,V$56:V$59-1)))</f>
        <v>1.5194188435271037</v>
      </c>
      <c r="AG14" s="3" cm="1">
        <f t="array" ref="AG14">SUMPRODUCT(Y$56:Y$58, EXP(-((Y$56:Y$58-Y40)^2)/(2*Y$61^2))*EXP(-Y$63*MAX(0,Y$56:Y$58-1)))/SUM(EXP(-((Y$56:Y$58-Y40)^2)/(2*Y$61^2))*EXP(-Y$63*MAX(0,Y$56:Y$58-1)))</f>
        <v>1.5035985861808761</v>
      </c>
      <c r="AH14" s="3" cm="1">
        <f t="array" ref="AH14">SUMPRODUCT(Z$56:Z$58, EXP(-((Z$56:Z$58-Z40)^2)/(2*Z$61^2))*EXP(-Z$63*MAX(0,Z$56:Z$58-2)))/SUM(EXP(-((Z$56:Z$58-Z40)^2)/(2*Z$61^2))*EXP(-Z$63*MAX(0,Z$56:Z$58-2)))</f>
        <v>1.5035985861808761</v>
      </c>
      <c r="AI14" s="3" cm="1">
        <f t="array" ref="AI14">SUMPRODUCT(AA$56:AA$59, EXP(-((AA$56:AA$59-AA40)^2)/(2*AA$61^2))*EXP(-AA$63*ABS(AA$56:AA$59-1)))/SUM(EXP(-((AA$56:AA$59-AA40)^2)/(2*AA$61^2))*EXP(-AA$63*ABS(AA$56:AA$59-1)))</f>
        <v>3.4156623166236928</v>
      </c>
      <c r="AJ14" s="3" cm="1">
        <f t="array" ref="AJ14">SUMPRODUCT(AB$56:AB$59, EXP(-((AB$56:AB$59-AB40)^2)/(2*AB$61^2))*EXP(-AB$63*ABS(AB$56:AB$59-1)))/SUM(EXP(-((AB$56:AB$59-AB40)^2)/(2*AB$61^2))*EXP(-AB$63*ABS(AB$56:AB$59-1)))</f>
        <v>2.0146887820263686</v>
      </c>
    </row>
    <row r="15" spans="1:36">
      <c r="A15" t="s">
        <v>65</v>
      </c>
      <c r="B15">
        <v>8095.9097084508703</v>
      </c>
      <c r="C15">
        <v>4489.3676336428498</v>
      </c>
      <c r="D15">
        <v>5</v>
      </c>
      <c r="E15">
        <v>17.857142857142801</v>
      </c>
      <c r="F15">
        <v>156.05084425849401</v>
      </c>
      <c r="G15">
        <v>165.46581973325999</v>
      </c>
      <c r="H15">
        <v>28</v>
      </c>
      <c r="I15">
        <v>17.5</v>
      </c>
      <c r="J15">
        <v>81.086207413793105</v>
      </c>
      <c r="K15">
        <v>76.1018641925465</v>
      </c>
      <c r="L15">
        <v>78.5</v>
      </c>
      <c r="M15">
        <v>71.8</v>
      </c>
      <c r="N15">
        <v>83.4</v>
      </c>
      <c r="O15">
        <v>82</v>
      </c>
      <c r="P15">
        <v>1.3330210207923601</v>
      </c>
      <c r="Q15">
        <v>2.28071988017386</v>
      </c>
      <c r="R15">
        <v>-4.98434322124651</v>
      </c>
      <c r="S15" t="s">
        <v>37</v>
      </c>
      <c r="T15" t="s">
        <v>37</v>
      </c>
      <c r="U15" t="s">
        <v>38</v>
      </c>
      <c r="V15" t="s">
        <v>39</v>
      </c>
      <c r="W15" t="s">
        <v>40</v>
      </c>
      <c r="X15" t="s">
        <v>40</v>
      </c>
      <c r="Y15" t="s">
        <v>42</v>
      </c>
      <c r="Z15" t="s">
        <v>42</v>
      </c>
      <c r="AA15" t="s">
        <v>43</v>
      </c>
      <c r="AB15" t="s">
        <v>44</v>
      </c>
      <c r="AC15" s="3" cm="1">
        <f t="array" ref="AC15">SUMPRODUCT(S$56:S$59, EXP(-((S$56:S$59-S41)^2)/(2*S$61^2))*EXP(-S$63*MAX(0,S$56:S$59-2)))/SUM(EXP(-((S$56:S$59-S41)^2)/(2*S$61^2))*EXP(-S$63*MAX(0,S$56:S$59-2)))</f>
        <v>1.5194188435271037</v>
      </c>
      <c r="AD15" s="3" cm="1">
        <f t="array" ref="AD15">SUMPRODUCT(T$56:T$59, EXP(-((T$56:T$59-T41)^2)/(2*T$61^2))*EXP(-T$63*MAX(0,T$56:T$59-2)))/SUM(EXP(-((T$56:T$59-T41)^2)/(2*T$61^2))*EXP(-T$63*MAX(0,T$56:T$59-2)))</f>
        <v>1.5194188435271037</v>
      </c>
      <c r="AE15" s="3" cm="1">
        <f t="array" ref="AE15">SUMPRODUCT(U$56:U$59, EXP(-((U$56:U$59-U41)^2)/(2*U$61^2))*EXP(-U$63*MAX(0,U$56:U$59-1)))/SUM(EXP(-((U$56:U$59-U41)^2)/(2*U$61^2))*EXP(-U$63*MAX(0,U$56:U$59-1)))</f>
        <v>2.1152576043443529</v>
      </c>
      <c r="AF15" s="3" cm="1">
        <f t="array" ref="AF15">SUMPRODUCT(V$56:V$59, EXP(-((V$56:V$59-V41)^2)/(2*V$61^2))*EXP(-V$63*MAX(0,V$56:V$59-1)))/SUM(EXP(-((V$56:V$59-V41)^2)/(2*V$61^2))*EXP(-V$63*MAX(0,V$56:V$59-1)))</f>
        <v>1.5194188435271037</v>
      </c>
      <c r="AG15" s="3" cm="1">
        <f t="array" ref="AG15">SUMPRODUCT(Y$56:Y$58, EXP(-((Y$56:Y$58-Y41)^2)/(2*Y$61^2))*EXP(-Y$63*MAX(0,Y$56:Y$58-1)))/SUM(EXP(-((Y$56:Y$58-Y41)^2)/(2*Y$61^2))*EXP(-Y$63*MAX(0,Y$56:Y$58-1)))</f>
        <v>1.5035985861808761</v>
      </c>
      <c r="AH15" s="3" cm="1">
        <f t="array" ref="AH15">SUMPRODUCT(Z$56:Z$58, EXP(-((Z$56:Z$58-Z41)^2)/(2*Z$61^2))*EXP(-Z$63*MAX(0,Z$56:Z$58-2)))/SUM(EXP(-((Z$56:Z$58-Z41)^2)/(2*Z$61^2))*EXP(-Z$63*MAX(0,Z$56:Z$58-2)))</f>
        <v>1.5035985861808761</v>
      </c>
      <c r="AI15" s="3" cm="1">
        <f t="array" ref="AI15">SUMPRODUCT(AA$56:AA$59, EXP(-((AA$56:AA$59-AA41)^2)/(2*AA$61^2))*EXP(-AA$63*ABS(AA$56:AA$59-1)))/SUM(EXP(-((AA$56:AA$59-AA41)^2)/(2*AA$61^2))*EXP(-AA$63*ABS(AA$56:AA$59-1)))</f>
        <v>2.0146887820263686</v>
      </c>
      <c r="AJ15" s="3" cm="1">
        <f t="array" ref="AJ15">SUMPRODUCT(AB$56:AB$59, EXP(-((AB$56:AB$59-AB41)^2)/(2*AB$61^2))*EXP(-AB$63*ABS(AB$56:AB$59-1)))/SUM(EXP(-((AB$56:AB$59-AB41)^2)/(2*AB$61^2))*EXP(-AB$63*ABS(AB$56:AB$59-1)))</f>
        <v>2.7801545234284921</v>
      </c>
    </row>
    <row r="16" spans="1:36">
      <c r="A16" t="s">
        <v>66</v>
      </c>
      <c r="B16">
        <v>29.0022535640713</v>
      </c>
      <c r="C16">
        <v>24.3274463219994</v>
      </c>
      <c r="D16">
        <v>5</v>
      </c>
      <c r="E16">
        <v>2.3696682464454901</v>
      </c>
      <c r="F16">
        <v>230.996972417005</v>
      </c>
      <c r="G16">
        <v>225.034095081266</v>
      </c>
      <c r="H16">
        <v>15</v>
      </c>
      <c r="I16">
        <v>9.5541401273885302</v>
      </c>
      <c r="J16">
        <v>105.64151040094301</v>
      </c>
      <c r="K16">
        <v>82.886710094936703</v>
      </c>
      <c r="L16">
        <v>98.4</v>
      </c>
      <c r="M16">
        <v>80.200005000000004</v>
      </c>
      <c r="N16">
        <v>112.4</v>
      </c>
      <c r="O16">
        <v>87.5</v>
      </c>
      <c r="P16">
        <v>2.6459972416215098</v>
      </c>
      <c r="Q16">
        <v>1.37303878845352</v>
      </c>
      <c r="R16">
        <v>-22.754800306006601</v>
      </c>
      <c r="S16" t="s">
        <v>37</v>
      </c>
      <c r="T16" t="s">
        <v>37</v>
      </c>
      <c r="U16" t="s">
        <v>39</v>
      </c>
      <c r="V16" t="s">
        <v>39</v>
      </c>
      <c r="W16" t="s">
        <v>40</v>
      </c>
      <c r="X16" t="s">
        <v>40</v>
      </c>
      <c r="Y16" t="s">
        <v>52</v>
      </c>
      <c r="Z16" t="s">
        <v>52</v>
      </c>
      <c r="AA16" t="s">
        <v>44</v>
      </c>
      <c r="AB16" t="s">
        <v>44</v>
      </c>
      <c r="AC16" s="3" cm="1">
        <f t="array" ref="AC16">SUMPRODUCT(S$56:S$59, EXP(-((S$56:S$59-S42)^2)/(2*S$61^2))*EXP(-S$63*MAX(0,S$56:S$59-2)))/SUM(EXP(-((S$56:S$59-S42)^2)/(2*S$61^2))*EXP(-S$63*MAX(0,S$56:S$59-2)))</f>
        <v>1.5194188435271037</v>
      </c>
      <c r="AD16" s="3" cm="1">
        <f t="array" ref="AD16">SUMPRODUCT(T$56:T$59, EXP(-((T$56:T$59-T42)^2)/(2*T$61^2))*EXP(-T$63*MAX(0,T$56:T$59-2)))/SUM(EXP(-((T$56:T$59-T42)^2)/(2*T$61^2))*EXP(-T$63*MAX(0,T$56:T$59-2)))</f>
        <v>1.5194188435271037</v>
      </c>
      <c r="AE16" s="3" cm="1">
        <f t="array" ref="AE16">SUMPRODUCT(U$56:U$59, EXP(-((U$56:U$59-U42)^2)/(2*U$61^2))*EXP(-U$63*MAX(0,U$56:U$59-1)))/SUM(EXP(-((U$56:U$59-U42)^2)/(2*U$61^2))*EXP(-U$63*MAX(0,U$56:U$59-1)))</f>
        <v>1.5194188435271037</v>
      </c>
      <c r="AF16" s="3" cm="1">
        <f t="array" ref="AF16">SUMPRODUCT(V$56:V$59, EXP(-((V$56:V$59-V42)^2)/(2*V$61^2))*EXP(-V$63*MAX(0,V$56:V$59-1)))/SUM(EXP(-((V$56:V$59-V42)^2)/(2*V$61^2))*EXP(-V$63*MAX(0,V$56:V$59-1)))</f>
        <v>1.5194188435271037</v>
      </c>
      <c r="AG16" s="3" cm="1">
        <f t="array" ref="AG16">SUMPRODUCT(Y$56:Y$58, EXP(-((Y$56:Y$58-Y42)^2)/(2*Y$61^2))*EXP(-Y$63*MAX(0,Y$56:Y$58-1)))/SUM(EXP(-((Y$56:Y$58-Y42)^2)/(2*Y$61^2))*EXP(-Y$63*MAX(0,Y$56:Y$58-1)))</f>
        <v>2</v>
      </c>
      <c r="AH16" s="3" cm="1">
        <f t="array" ref="AH16">SUMPRODUCT(Z$56:Z$58, EXP(-((Z$56:Z$58-Z42)^2)/(2*Z$61^2))*EXP(-Z$63*MAX(0,Z$56:Z$58-2)))/SUM(EXP(-((Z$56:Z$58-Z42)^2)/(2*Z$61^2))*EXP(-Z$63*MAX(0,Z$56:Z$58-2)))</f>
        <v>2</v>
      </c>
      <c r="AI16" s="3" cm="1">
        <f t="array" ref="AI16">SUMPRODUCT(AA$56:AA$59, EXP(-((AA$56:AA$59-AA42)^2)/(2*AA$61^2))*EXP(-AA$63*ABS(AA$56:AA$59-1)))/SUM(EXP(-((AA$56:AA$59-AA42)^2)/(2*AA$61^2))*EXP(-AA$63*ABS(AA$56:AA$59-1)))</f>
        <v>2.7801545234284921</v>
      </c>
      <c r="AJ16" s="3" cm="1">
        <f t="array" ref="AJ16">SUMPRODUCT(AB$56:AB$59, EXP(-((AB$56:AB$59-AB42)^2)/(2*AB$61^2))*EXP(-AB$63*ABS(AB$56:AB$59-1)))/SUM(EXP(-((AB$56:AB$59-AB42)^2)/(2*AB$61^2))*EXP(-AB$63*ABS(AB$56:AB$59-1)))</f>
        <v>2.7801545234284921</v>
      </c>
    </row>
    <row r="17" spans="1:36">
      <c r="A17" t="s">
        <v>67</v>
      </c>
      <c r="B17">
        <v>156.35786438865401</v>
      </c>
      <c r="C17">
        <v>226.05361154849399</v>
      </c>
      <c r="D17">
        <v>9</v>
      </c>
      <c r="E17">
        <v>13.235294117646999</v>
      </c>
      <c r="F17">
        <v>321.70340278753503</v>
      </c>
      <c r="G17">
        <v>428.22690914313802</v>
      </c>
      <c r="H17">
        <v>24</v>
      </c>
      <c r="I17">
        <v>38.095238095238003</v>
      </c>
      <c r="J17">
        <v>77.230435942028905</v>
      </c>
      <c r="K17">
        <v>75.785938281249997</v>
      </c>
      <c r="L17">
        <v>70.200005000000004</v>
      </c>
      <c r="M17">
        <v>72.599999999999994</v>
      </c>
      <c r="N17">
        <v>81.3</v>
      </c>
      <c r="O17">
        <v>78.599999999999994</v>
      </c>
      <c r="P17">
        <v>2.42810144935134</v>
      </c>
      <c r="Q17">
        <v>1.3230396108988201</v>
      </c>
      <c r="R17">
        <v>-1.4444976607789899</v>
      </c>
      <c r="S17" t="s">
        <v>37</v>
      </c>
      <c r="T17" t="s">
        <v>37</v>
      </c>
      <c r="U17" t="s">
        <v>39</v>
      </c>
      <c r="V17" t="s">
        <v>39</v>
      </c>
      <c r="W17" t="s">
        <v>40</v>
      </c>
      <c r="X17" t="s">
        <v>40</v>
      </c>
      <c r="Y17" t="s">
        <v>42</v>
      </c>
      <c r="Z17" t="s">
        <v>42</v>
      </c>
      <c r="AA17" t="s">
        <v>43</v>
      </c>
      <c r="AB17" t="s">
        <v>43</v>
      </c>
      <c r="AC17" s="3" cm="1">
        <f t="array" ref="AC17">SUMPRODUCT(S$56:S$59, EXP(-((S$56:S$59-S43)^2)/(2*S$61^2))*EXP(-S$63*MAX(0,S$56:S$59-2)))/SUM(EXP(-((S$56:S$59-S43)^2)/(2*S$61^2))*EXP(-S$63*MAX(0,S$56:S$59-2)))</f>
        <v>1.5194188435271037</v>
      </c>
      <c r="AD17" s="3" cm="1">
        <f t="array" ref="AD17">SUMPRODUCT(T$56:T$59, EXP(-((T$56:T$59-T43)^2)/(2*T$61^2))*EXP(-T$63*MAX(0,T$56:T$59-2)))/SUM(EXP(-((T$56:T$59-T43)^2)/(2*T$61^2))*EXP(-T$63*MAX(0,T$56:T$59-2)))</f>
        <v>1.5194188435271037</v>
      </c>
      <c r="AE17" s="3" cm="1">
        <f t="array" ref="AE17">SUMPRODUCT(U$56:U$59, EXP(-((U$56:U$59-U43)^2)/(2*U$61^2))*EXP(-U$63*MAX(0,U$56:U$59-1)))/SUM(EXP(-((U$56:U$59-U43)^2)/(2*U$61^2))*EXP(-U$63*MAX(0,U$56:U$59-1)))</f>
        <v>1.5194188435271037</v>
      </c>
      <c r="AF17" s="3" cm="1">
        <f t="array" ref="AF17">SUMPRODUCT(V$56:V$59, EXP(-((V$56:V$59-V43)^2)/(2*V$61^2))*EXP(-V$63*MAX(0,V$56:V$59-1)))/SUM(EXP(-((V$56:V$59-V43)^2)/(2*V$61^2))*EXP(-V$63*MAX(0,V$56:V$59-1)))</f>
        <v>1.5194188435271037</v>
      </c>
      <c r="AG17" s="3" cm="1">
        <f t="array" ref="AG17">SUMPRODUCT(Y$56:Y$58, EXP(-((Y$56:Y$58-Y43)^2)/(2*Y$61^2))*EXP(-Y$63*MAX(0,Y$56:Y$58-1)))/SUM(EXP(-((Y$56:Y$58-Y43)^2)/(2*Y$61^2))*EXP(-Y$63*MAX(0,Y$56:Y$58-1)))</f>
        <v>1.5035985861808761</v>
      </c>
      <c r="AH17" s="3" cm="1">
        <f t="array" ref="AH17">SUMPRODUCT(Z$56:Z$58, EXP(-((Z$56:Z$58-Z43)^2)/(2*Z$61^2))*EXP(-Z$63*MAX(0,Z$56:Z$58-2)))/SUM(EXP(-((Z$56:Z$58-Z43)^2)/(2*Z$61^2))*EXP(-Z$63*MAX(0,Z$56:Z$58-2)))</f>
        <v>1.5035985861808761</v>
      </c>
      <c r="AI17" s="3" cm="1">
        <f t="array" ref="AI17">SUMPRODUCT(AA$56:AA$59, EXP(-((AA$56:AA$59-AA43)^2)/(2*AA$61^2))*EXP(-AA$63*ABS(AA$56:AA$59-1)))/SUM(EXP(-((AA$56:AA$59-AA43)^2)/(2*AA$61^2))*EXP(-AA$63*ABS(AA$56:AA$59-1)))</f>
        <v>2.0146887820263686</v>
      </c>
      <c r="AJ17" s="3" cm="1">
        <f t="array" ref="AJ17">SUMPRODUCT(AB$56:AB$59, EXP(-((AB$56:AB$59-AB43)^2)/(2*AB$61^2))*EXP(-AB$63*ABS(AB$56:AB$59-1)))/SUM(EXP(-((AB$56:AB$59-AB43)^2)/(2*AB$61^2))*EXP(-AB$63*ABS(AB$56:AB$59-1)))</f>
        <v>2.0146887820263686</v>
      </c>
    </row>
    <row r="18" spans="1:36">
      <c r="A18" t="s">
        <v>68</v>
      </c>
      <c r="B18">
        <v>120.90624319543301</v>
      </c>
      <c r="C18">
        <v>120.881944244971</v>
      </c>
      <c r="D18">
        <v>28</v>
      </c>
      <c r="E18">
        <v>23.9316239316239</v>
      </c>
      <c r="F18">
        <v>1807.50730679092</v>
      </c>
      <c r="G18">
        <v>2156.9497931700698</v>
      </c>
      <c r="H18">
        <v>23</v>
      </c>
      <c r="I18">
        <v>58.9743589743589</v>
      </c>
      <c r="J18">
        <v>58.230508966101603</v>
      </c>
      <c r="K18">
        <v>63.097500324999999</v>
      </c>
      <c r="L18">
        <v>56.100002000000003</v>
      </c>
      <c r="M18">
        <v>57</v>
      </c>
      <c r="N18">
        <v>63.600002000000003</v>
      </c>
      <c r="O18">
        <v>87.1</v>
      </c>
      <c r="P18">
        <v>1.48626231235727</v>
      </c>
      <c r="Q18">
        <v>10.437297205234</v>
      </c>
      <c r="R18">
        <v>4.8669913588983098</v>
      </c>
      <c r="S18" t="s">
        <v>37</v>
      </c>
      <c r="T18" t="s">
        <v>54</v>
      </c>
      <c r="U18" t="s">
        <v>39</v>
      </c>
      <c r="V18" t="s">
        <v>51</v>
      </c>
      <c r="W18" t="s">
        <v>40</v>
      </c>
      <c r="X18" t="s">
        <v>40</v>
      </c>
      <c r="Y18" t="s">
        <v>42</v>
      </c>
      <c r="Z18" t="s">
        <v>52</v>
      </c>
      <c r="AA18" t="s">
        <v>43</v>
      </c>
      <c r="AB18" t="s">
        <v>44</v>
      </c>
      <c r="AC18" s="3" cm="1">
        <f t="array" ref="AC18">SUMPRODUCT(S$56:S$59, EXP(-((S$56:S$59-S44)^2)/(2*S$61^2))*EXP(-S$63*MAX(0,S$56:S$59-2)))/SUM(EXP(-((S$56:S$59-S44)^2)/(2*S$61^2))*EXP(-S$63*MAX(0,S$56:S$59-2)))</f>
        <v>1.5194188435271037</v>
      </c>
      <c r="AD18" s="3" cm="1">
        <f t="array" ref="AD18">SUMPRODUCT(T$56:T$59, EXP(-((T$56:T$59-T44)^2)/(2*T$61^2))*EXP(-T$63*MAX(0,T$56:T$59-2)))/SUM(EXP(-((T$56:T$59-T44)^2)/(2*T$61^2))*EXP(-T$63*MAX(0,T$56:T$59-2)))</f>
        <v>2.1152576043443529</v>
      </c>
      <c r="AE18" s="3" cm="1">
        <f t="array" ref="AE18">SUMPRODUCT(U$56:U$59, EXP(-((U$56:U$59-U44)^2)/(2*U$61^2))*EXP(-U$63*MAX(0,U$56:U$59-1)))/SUM(EXP(-((U$56:U$59-U44)^2)/(2*U$61^2))*EXP(-U$63*MAX(0,U$56:U$59-1)))</f>
        <v>1.5194188435271037</v>
      </c>
      <c r="AF18" s="3" cm="1">
        <f t="array" ref="AF18">SUMPRODUCT(V$56:V$59, EXP(-((V$56:V$59-V44)^2)/(2*V$61^2))*EXP(-V$63*MAX(0,V$56:V$59-1)))/SUM(EXP(-((V$56:V$59-V44)^2)/(2*V$61^2))*EXP(-V$63*MAX(0,V$56:V$59-1)))</f>
        <v>2.8847423956556475</v>
      </c>
      <c r="AG18" s="3" cm="1">
        <f t="array" ref="AG18">SUMPRODUCT(Y$56:Y$58, EXP(-((Y$56:Y$58-Y44)^2)/(2*Y$61^2))*EXP(-Y$63*MAX(0,Y$56:Y$58-1)))/SUM(EXP(-((Y$56:Y$58-Y44)^2)/(2*Y$61^2))*EXP(-Y$63*MAX(0,Y$56:Y$58-1)))</f>
        <v>1.5035985861808761</v>
      </c>
      <c r="AH18" s="3" cm="1">
        <f t="array" ref="AH18">SUMPRODUCT(Z$56:Z$58, EXP(-((Z$56:Z$58-Z44)^2)/(2*Z$61^2))*EXP(-Z$63*MAX(0,Z$56:Z$58-2)))/SUM(EXP(-((Z$56:Z$58-Z44)^2)/(2*Z$61^2))*EXP(-Z$63*MAX(0,Z$56:Z$58-2)))</f>
        <v>2</v>
      </c>
      <c r="AI18" s="3" cm="1">
        <f t="array" ref="AI18">SUMPRODUCT(AA$56:AA$59, EXP(-((AA$56:AA$59-AA44)^2)/(2*AA$61^2))*EXP(-AA$63*ABS(AA$56:AA$59-1)))/SUM(EXP(-((AA$56:AA$59-AA44)^2)/(2*AA$61^2))*EXP(-AA$63*ABS(AA$56:AA$59-1)))</f>
        <v>2.0146887820263686</v>
      </c>
      <c r="AJ18" s="3" cm="1">
        <f t="array" ref="AJ18">SUMPRODUCT(AB$56:AB$59, EXP(-((AB$56:AB$59-AB44)^2)/(2*AB$61^2))*EXP(-AB$63*ABS(AB$56:AB$59-1)))/SUM(EXP(-((AB$56:AB$59-AB44)^2)/(2*AB$61^2))*EXP(-AB$63*ABS(AB$56:AB$59-1)))</f>
        <v>2.7801545234284921</v>
      </c>
    </row>
    <row r="19" spans="1:36">
      <c r="A19" t="s">
        <v>69</v>
      </c>
      <c r="B19">
        <v>137.79568063626201</v>
      </c>
      <c r="C19">
        <v>141.199890548502</v>
      </c>
      <c r="D19">
        <v>32</v>
      </c>
      <c r="E19">
        <v>20.779220779220701</v>
      </c>
      <c r="F19">
        <v>177.624275016084</v>
      </c>
      <c r="G19">
        <v>195.85858269574101</v>
      </c>
      <c r="H19">
        <v>19</v>
      </c>
      <c r="I19">
        <v>12.3376623376623</v>
      </c>
      <c r="J19">
        <v>73.661291419354797</v>
      </c>
      <c r="K19">
        <v>80.658710645161193</v>
      </c>
      <c r="L19">
        <v>68.700005000000004</v>
      </c>
      <c r="M19">
        <v>77.3</v>
      </c>
      <c r="N19">
        <v>83.700005000000004</v>
      </c>
      <c r="O19">
        <v>86.3</v>
      </c>
      <c r="P19">
        <v>1.89433150511785</v>
      </c>
      <c r="Q19">
        <v>2.2432810781542898</v>
      </c>
      <c r="R19">
        <v>6.9974192258064303</v>
      </c>
      <c r="S19" t="s">
        <v>54</v>
      </c>
      <c r="T19" t="s">
        <v>46</v>
      </c>
      <c r="U19" t="s">
        <v>51</v>
      </c>
      <c r="V19" t="s">
        <v>47</v>
      </c>
      <c r="W19" t="s">
        <v>40</v>
      </c>
      <c r="X19" t="s">
        <v>40</v>
      </c>
      <c r="Y19" t="s">
        <v>42</v>
      </c>
      <c r="Z19" t="s">
        <v>52</v>
      </c>
      <c r="AA19" t="s">
        <v>43</v>
      </c>
      <c r="AB19" t="s">
        <v>56</v>
      </c>
      <c r="AC19" s="3" cm="1">
        <f t="array" ref="AC19">SUMPRODUCT(S$56:S$59, EXP(-((S$56:S$59-S45)^2)/(2*S$61^2))*EXP(-S$63*MAX(0,S$56:S$59-2)))/SUM(EXP(-((S$56:S$59-S45)^2)/(2*S$61^2))*EXP(-S$63*MAX(0,S$56:S$59-2)))</f>
        <v>2.1152576043443529</v>
      </c>
      <c r="AD19" s="3" cm="1">
        <f t="array" ref="AD19">SUMPRODUCT(T$56:T$59, EXP(-((T$56:T$59-T45)^2)/(2*T$61^2))*EXP(-T$63*MAX(0,T$56:T$59-2)))/SUM(EXP(-((T$56:T$59-T45)^2)/(2*T$61^2))*EXP(-T$63*MAX(0,T$56:T$59-2)))</f>
        <v>2.8847423956556471</v>
      </c>
      <c r="AE19" s="3" cm="1">
        <f t="array" ref="AE19">SUMPRODUCT(U$56:U$59, EXP(-((U$56:U$59-U45)^2)/(2*U$61^2))*EXP(-U$63*MAX(0,U$56:U$59-1)))/SUM(EXP(-((U$56:U$59-U45)^2)/(2*U$61^2))*EXP(-U$63*MAX(0,U$56:U$59-1)))</f>
        <v>2.8847423956556475</v>
      </c>
      <c r="AF19" s="3" cm="1">
        <f t="array" ref="AF19">SUMPRODUCT(V$56:V$59, EXP(-((V$56:V$59-V45)^2)/(2*V$61^2))*EXP(-V$63*MAX(0,V$56:V$59-1)))/SUM(EXP(-((V$56:V$59-V45)^2)/(2*V$61^2))*EXP(-V$63*MAX(0,V$56:V$59-1)))</f>
        <v>3.4805811564728959</v>
      </c>
      <c r="AG19" s="3" cm="1">
        <f t="array" ref="AG19">SUMPRODUCT(Y$56:Y$58, EXP(-((Y$56:Y$58-Y45)^2)/(2*Y$61^2))*EXP(-Y$63*MAX(0,Y$56:Y$58-1)))/SUM(EXP(-((Y$56:Y$58-Y45)^2)/(2*Y$61^2))*EXP(-Y$63*MAX(0,Y$56:Y$58-1)))</f>
        <v>1.5035985861808761</v>
      </c>
      <c r="AH19" s="3" cm="1">
        <f t="array" ref="AH19">SUMPRODUCT(Z$56:Z$58, EXP(-((Z$56:Z$58-Z45)^2)/(2*Z$61^2))*EXP(-Z$63*MAX(0,Z$56:Z$58-2)))/SUM(EXP(-((Z$56:Z$58-Z45)^2)/(2*Z$61^2))*EXP(-Z$63*MAX(0,Z$56:Z$58-2)))</f>
        <v>2</v>
      </c>
      <c r="AI19" s="3" cm="1">
        <f t="array" ref="AI19">SUMPRODUCT(AA$56:AA$59, EXP(-((AA$56:AA$59-AA45)^2)/(2*AA$61^2))*EXP(-AA$63*ABS(AA$56:AA$59-1)))/SUM(EXP(-((AA$56:AA$59-AA45)^2)/(2*AA$61^2))*EXP(-AA$63*ABS(AA$56:AA$59-1)))</f>
        <v>2.0146887820263686</v>
      </c>
      <c r="AJ19" s="3" cm="1">
        <f t="array" ref="AJ19">SUMPRODUCT(AB$56:AB$59, EXP(-((AB$56:AB$59-AB45)^2)/(2*AB$61^2))*EXP(-AB$63*ABS(AB$56:AB$59-1)))/SUM(EXP(-((AB$56:AB$59-AB45)^2)/(2*AB$61^2))*EXP(-AB$63*ABS(AB$56:AB$59-1)))</f>
        <v>3.4156623166236928</v>
      </c>
    </row>
    <row r="20" spans="1:36">
      <c r="A20" t="s">
        <v>70</v>
      </c>
      <c r="B20">
        <v>187.07898004716</v>
      </c>
      <c r="C20">
        <v>261.73958019974202</v>
      </c>
      <c r="D20">
        <v>18</v>
      </c>
      <c r="E20">
        <v>11.764705882352899</v>
      </c>
      <c r="F20">
        <v>16.127681499606901</v>
      </c>
      <c r="G20">
        <v>22.5847371416803</v>
      </c>
      <c r="H20">
        <v>3</v>
      </c>
      <c r="I20">
        <v>1.50753768844221</v>
      </c>
      <c r="J20">
        <v>82.251299577921998</v>
      </c>
      <c r="K20">
        <v>99.2070012249999</v>
      </c>
      <c r="L20">
        <v>76.700005000000004</v>
      </c>
      <c r="M20">
        <v>78.3</v>
      </c>
      <c r="N20">
        <v>87.700005000000004</v>
      </c>
      <c r="O20">
        <v>103.9</v>
      </c>
      <c r="P20">
        <v>2.3645042128556399</v>
      </c>
      <c r="Q20">
        <v>4.9775832522439698</v>
      </c>
      <c r="R20">
        <v>16.955701647077898</v>
      </c>
      <c r="S20" t="s">
        <v>54</v>
      </c>
      <c r="T20" t="s">
        <v>46</v>
      </c>
      <c r="U20" t="s">
        <v>39</v>
      </c>
      <c r="V20" t="s">
        <v>39</v>
      </c>
      <c r="W20" t="s">
        <v>40</v>
      </c>
      <c r="X20" t="s">
        <v>40</v>
      </c>
      <c r="Y20" t="s">
        <v>42</v>
      </c>
      <c r="Z20" t="s">
        <v>42</v>
      </c>
      <c r="AA20" t="s">
        <v>44</v>
      </c>
      <c r="AB20" t="s">
        <v>43</v>
      </c>
      <c r="AC20" s="3" cm="1">
        <f t="array" ref="AC20">SUMPRODUCT(S$56:S$59, EXP(-((S$56:S$59-S46)^2)/(2*S$61^2))*EXP(-S$63*MAX(0,S$56:S$59-2)))/SUM(EXP(-((S$56:S$59-S46)^2)/(2*S$61^2))*EXP(-S$63*MAX(0,S$56:S$59-2)))</f>
        <v>2.1152576043443529</v>
      </c>
      <c r="AD20" s="3" cm="1">
        <f t="array" ref="AD20">SUMPRODUCT(T$56:T$59, EXP(-((T$56:T$59-T46)^2)/(2*T$61^2))*EXP(-T$63*MAX(0,T$56:T$59-2)))/SUM(EXP(-((T$56:T$59-T46)^2)/(2*T$61^2))*EXP(-T$63*MAX(0,T$56:T$59-2)))</f>
        <v>2.8847423956556471</v>
      </c>
      <c r="AE20" s="3" cm="1">
        <f t="array" ref="AE20">SUMPRODUCT(U$56:U$59, EXP(-((U$56:U$59-U46)^2)/(2*U$61^2))*EXP(-U$63*MAX(0,U$56:U$59-1)))/SUM(EXP(-((U$56:U$59-U46)^2)/(2*U$61^2))*EXP(-U$63*MAX(0,U$56:U$59-1)))</f>
        <v>1.5194188435271037</v>
      </c>
      <c r="AF20" s="3" cm="1">
        <f t="array" ref="AF20">SUMPRODUCT(V$56:V$59, EXP(-((V$56:V$59-V46)^2)/(2*V$61^2))*EXP(-V$63*MAX(0,V$56:V$59-1)))/SUM(EXP(-((V$56:V$59-V46)^2)/(2*V$61^2))*EXP(-V$63*MAX(0,V$56:V$59-1)))</f>
        <v>1.5194188435271037</v>
      </c>
      <c r="AG20" s="3" cm="1">
        <f t="array" ref="AG20">SUMPRODUCT(Y$56:Y$58, EXP(-((Y$56:Y$58-Y46)^2)/(2*Y$61^2))*EXP(-Y$63*MAX(0,Y$56:Y$58-1)))/SUM(EXP(-((Y$56:Y$58-Y46)^2)/(2*Y$61^2))*EXP(-Y$63*MAX(0,Y$56:Y$58-1)))</f>
        <v>1.5035985861808761</v>
      </c>
      <c r="AH20" s="3" cm="1">
        <f t="array" ref="AH20">SUMPRODUCT(Z$56:Z$58, EXP(-((Z$56:Z$58-Z46)^2)/(2*Z$61^2))*EXP(-Z$63*MAX(0,Z$56:Z$58-2)))/SUM(EXP(-((Z$56:Z$58-Z46)^2)/(2*Z$61^2))*EXP(-Z$63*MAX(0,Z$56:Z$58-2)))</f>
        <v>1.5035985861808761</v>
      </c>
      <c r="AI20" s="3" cm="1">
        <f t="array" ref="AI20">SUMPRODUCT(AA$56:AA$59, EXP(-((AA$56:AA$59-AA46)^2)/(2*AA$61^2))*EXP(-AA$63*ABS(AA$56:AA$59-1)))/SUM(EXP(-((AA$56:AA$59-AA46)^2)/(2*AA$61^2))*EXP(-AA$63*ABS(AA$56:AA$59-1)))</f>
        <v>2.7801545234284921</v>
      </c>
      <c r="AJ20" s="3" cm="1">
        <f t="array" ref="AJ20">SUMPRODUCT(AB$56:AB$59, EXP(-((AB$56:AB$59-AB46)^2)/(2*AB$61^2))*EXP(-AB$63*ABS(AB$56:AB$59-1)))/SUM(EXP(-((AB$56:AB$59-AB46)^2)/(2*AB$61^2))*EXP(-AB$63*ABS(AB$56:AB$59-1)))</f>
        <v>2.0146887820263686</v>
      </c>
    </row>
    <row r="21" spans="1:36">
      <c r="A21" t="s">
        <v>71</v>
      </c>
      <c r="B21">
        <v>2409.5907249279499</v>
      </c>
      <c r="C21">
        <v>2364.4955034669601</v>
      </c>
      <c r="D21">
        <v>63</v>
      </c>
      <c r="E21">
        <v>88.732394366197099</v>
      </c>
      <c r="F21">
        <v>27.744840338829999</v>
      </c>
      <c r="G21">
        <v>12.6148775315155</v>
      </c>
      <c r="H21">
        <v>1</v>
      </c>
      <c r="I21">
        <v>0.67567567567567499</v>
      </c>
      <c r="J21">
        <v>80.254258458333297</v>
      </c>
      <c r="K21">
        <v>75.059180570469806</v>
      </c>
      <c r="L21">
        <v>39.888137999999998</v>
      </c>
      <c r="M21">
        <v>71.400000000000006</v>
      </c>
      <c r="N21">
        <v>127.611115</v>
      </c>
      <c r="O21">
        <v>83.3</v>
      </c>
      <c r="P21">
        <v>22.361071943870101</v>
      </c>
      <c r="Q21">
        <v>2.56065132995385</v>
      </c>
      <c r="R21">
        <v>-5.1950778878635102</v>
      </c>
      <c r="S21" t="s">
        <v>37</v>
      </c>
      <c r="T21" t="s">
        <v>37</v>
      </c>
      <c r="U21" t="s">
        <v>39</v>
      </c>
      <c r="V21" t="s">
        <v>39</v>
      </c>
      <c r="W21" t="s">
        <v>40</v>
      </c>
      <c r="X21" t="s">
        <v>40</v>
      </c>
      <c r="Y21" t="s">
        <v>42</v>
      </c>
      <c r="Z21" t="s">
        <v>42</v>
      </c>
      <c r="AA21" t="s">
        <v>43</v>
      </c>
      <c r="AB21" t="s">
        <v>43</v>
      </c>
      <c r="AC21" s="3" cm="1">
        <f t="array" ref="AC21">SUMPRODUCT(S$56:S$59, EXP(-((S$56:S$59-S47)^2)/(2*S$61^2))*EXP(-S$63*MAX(0,S$56:S$59-2)))/SUM(EXP(-((S$56:S$59-S47)^2)/(2*S$61^2))*EXP(-S$63*MAX(0,S$56:S$59-2)))</f>
        <v>1.5194188435271037</v>
      </c>
      <c r="AD21" s="3" cm="1">
        <f t="array" ref="AD21">SUMPRODUCT(T$56:T$59, EXP(-((T$56:T$59-T47)^2)/(2*T$61^2))*EXP(-T$63*MAX(0,T$56:T$59-2)))/SUM(EXP(-((T$56:T$59-T47)^2)/(2*T$61^2))*EXP(-T$63*MAX(0,T$56:T$59-2)))</f>
        <v>1.5194188435271037</v>
      </c>
      <c r="AE21" s="3" cm="1">
        <f t="array" ref="AE21">SUMPRODUCT(U$56:U$59, EXP(-((U$56:U$59-U47)^2)/(2*U$61^2))*EXP(-U$63*MAX(0,U$56:U$59-1)))/SUM(EXP(-((U$56:U$59-U47)^2)/(2*U$61^2))*EXP(-U$63*MAX(0,U$56:U$59-1)))</f>
        <v>1.5194188435271037</v>
      </c>
      <c r="AF21" s="3" cm="1">
        <f t="array" ref="AF21">SUMPRODUCT(V$56:V$59, EXP(-((V$56:V$59-V47)^2)/(2*V$61^2))*EXP(-V$63*MAX(0,V$56:V$59-1)))/SUM(EXP(-((V$56:V$59-V47)^2)/(2*V$61^2))*EXP(-V$63*MAX(0,V$56:V$59-1)))</f>
        <v>1.5194188435271037</v>
      </c>
      <c r="AG21" s="3" cm="1">
        <f t="array" ref="AG21">SUMPRODUCT(Y$56:Y$58, EXP(-((Y$56:Y$58-Y47)^2)/(2*Y$61^2))*EXP(-Y$63*MAX(0,Y$56:Y$58-1)))/SUM(EXP(-((Y$56:Y$58-Y47)^2)/(2*Y$61^2))*EXP(-Y$63*MAX(0,Y$56:Y$58-1)))</f>
        <v>1.5035985861808761</v>
      </c>
      <c r="AH21" s="3" cm="1">
        <f t="array" ref="AH21">SUMPRODUCT(Z$56:Z$58, EXP(-((Z$56:Z$58-Z47)^2)/(2*Z$61^2))*EXP(-Z$63*MAX(0,Z$56:Z$58-2)))/SUM(EXP(-((Z$56:Z$58-Z47)^2)/(2*Z$61^2))*EXP(-Z$63*MAX(0,Z$56:Z$58-2)))</f>
        <v>1.5035985861808761</v>
      </c>
      <c r="AI21" s="3" cm="1">
        <f t="array" ref="AI21">SUMPRODUCT(AA$56:AA$59, EXP(-((AA$56:AA$59-AA47)^2)/(2*AA$61^2))*EXP(-AA$63*ABS(AA$56:AA$59-1)))/SUM(EXP(-((AA$56:AA$59-AA47)^2)/(2*AA$61^2))*EXP(-AA$63*ABS(AA$56:AA$59-1)))</f>
        <v>2.0146887820263686</v>
      </c>
      <c r="AJ21" s="3" cm="1">
        <f t="array" ref="AJ21">SUMPRODUCT(AB$56:AB$59, EXP(-((AB$56:AB$59-AB47)^2)/(2*AB$61^2))*EXP(-AB$63*ABS(AB$56:AB$59-1)))/SUM(EXP(-((AB$56:AB$59-AB47)^2)/(2*AB$61^2))*EXP(-AB$63*ABS(AB$56:AB$59-1)))</f>
        <v>2.0146887820263686</v>
      </c>
    </row>
    <row r="22" spans="1:36">
      <c r="A22" t="s">
        <v>72</v>
      </c>
      <c r="B22">
        <v>1183.38713483891</v>
      </c>
      <c r="C22">
        <v>1530.8379474747001</v>
      </c>
      <c r="D22">
        <v>53</v>
      </c>
      <c r="E22">
        <v>94.642857142857096</v>
      </c>
      <c r="F22">
        <v>126.043457134512</v>
      </c>
      <c r="G22">
        <v>108.00740715339801</v>
      </c>
      <c r="H22">
        <v>11</v>
      </c>
      <c r="I22">
        <v>13.75</v>
      </c>
      <c r="J22">
        <v>68.580702894736802</v>
      </c>
      <c r="K22">
        <v>77.127161666666595</v>
      </c>
      <c r="L22">
        <v>67</v>
      </c>
      <c r="M22">
        <v>63.8</v>
      </c>
      <c r="N22">
        <v>70.8</v>
      </c>
      <c r="O22">
        <v>84.6</v>
      </c>
      <c r="P22">
        <v>1.1341192495157899</v>
      </c>
      <c r="Q22">
        <v>6.2392909811065902</v>
      </c>
      <c r="R22">
        <v>8.5464587719297995</v>
      </c>
      <c r="S22" t="s">
        <v>37</v>
      </c>
      <c r="T22" t="s">
        <v>54</v>
      </c>
      <c r="U22" t="s">
        <v>38</v>
      </c>
      <c r="V22" t="s">
        <v>39</v>
      </c>
      <c r="W22" t="s">
        <v>40</v>
      </c>
      <c r="X22" t="s">
        <v>40</v>
      </c>
      <c r="Y22" t="s">
        <v>42</v>
      </c>
      <c r="Z22" t="s">
        <v>52</v>
      </c>
      <c r="AA22" t="s">
        <v>43</v>
      </c>
      <c r="AB22" t="s">
        <v>43</v>
      </c>
      <c r="AC22" s="3" cm="1">
        <f t="array" ref="AC22">SUMPRODUCT(S$56:S$59, EXP(-((S$56:S$59-S48)^2)/(2*S$61^2))*EXP(-S$63*MAX(0,S$56:S$59-2)))/SUM(EXP(-((S$56:S$59-S48)^2)/(2*S$61^2))*EXP(-S$63*MAX(0,S$56:S$59-2)))</f>
        <v>1.5194188435271037</v>
      </c>
      <c r="AD22" s="3" cm="1">
        <f t="array" ref="AD22">SUMPRODUCT(T$56:T$59, EXP(-((T$56:T$59-T48)^2)/(2*T$61^2))*EXP(-T$63*MAX(0,T$56:T$59-2)))/SUM(EXP(-((T$56:T$59-T48)^2)/(2*T$61^2))*EXP(-T$63*MAX(0,T$56:T$59-2)))</f>
        <v>2.1152576043443529</v>
      </c>
      <c r="AE22" s="3" cm="1">
        <f t="array" ref="AE22">SUMPRODUCT(U$56:U$59, EXP(-((U$56:U$59-U48)^2)/(2*U$61^2))*EXP(-U$63*MAX(0,U$56:U$59-1)))/SUM(EXP(-((U$56:U$59-U48)^2)/(2*U$61^2))*EXP(-U$63*MAX(0,U$56:U$59-1)))</f>
        <v>2.1152576043443529</v>
      </c>
      <c r="AF22" s="3" cm="1">
        <f t="array" ref="AF22">SUMPRODUCT(V$56:V$59, EXP(-((V$56:V$59-V48)^2)/(2*V$61^2))*EXP(-V$63*MAX(0,V$56:V$59-1)))/SUM(EXP(-((V$56:V$59-V48)^2)/(2*V$61^2))*EXP(-V$63*MAX(0,V$56:V$59-1)))</f>
        <v>1.5194188435271037</v>
      </c>
      <c r="AG22" s="3" cm="1">
        <f t="array" ref="AG22">SUMPRODUCT(Y$56:Y$58, EXP(-((Y$56:Y$58-Y48)^2)/(2*Y$61^2))*EXP(-Y$63*MAX(0,Y$56:Y$58-1)))/SUM(EXP(-((Y$56:Y$58-Y48)^2)/(2*Y$61^2))*EXP(-Y$63*MAX(0,Y$56:Y$58-1)))</f>
        <v>1.5035985861808761</v>
      </c>
      <c r="AH22" s="3" cm="1">
        <f t="array" ref="AH22">SUMPRODUCT(Z$56:Z$58, EXP(-((Z$56:Z$58-Z48)^2)/(2*Z$61^2))*EXP(-Z$63*MAX(0,Z$56:Z$58-2)))/SUM(EXP(-((Z$56:Z$58-Z48)^2)/(2*Z$61^2))*EXP(-Z$63*MAX(0,Z$56:Z$58-2)))</f>
        <v>2</v>
      </c>
      <c r="AI22" s="3" cm="1">
        <f t="array" ref="AI22">SUMPRODUCT(AA$56:AA$59, EXP(-((AA$56:AA$59-AA48)^2)/(2*AA$61^2))*EXP(-AA$63*ABS(AA$56:AA$59-1)))/SUM(EXP(-((AA$56:AA$59-AA48)^2)/(2*AA$61^2))*EXP(-AA$63*ABS(AA$56:AA$59-1)))</f>
        <v>2.0146887820263686</v>
      </c>
      <c r="AJ22" s="3" cm="1">
        <f t="array" ref="AJ22">SUMPRODUCT(AB$56:AB$59, EXP(-((AB$56:AB$59-AB48)^2)/(2*AB$61^2))*EXP(-AB$63*ABS(AB$56:AB$59-1)))/SUM(EXP(-((AB$56:AB$59-AB48)^2)/(2*AB$61^2))*EXP(-AB$63*ABS(AB$56:AB$59-1)))</f>
        <v>2.0146887820263686</v>
      </c>
    </row>
    <row r="23" spans="1:36">
      <c r="A23" t="s">
        <v>73</v>
      </c>
      <c r="B23">
        <v>72.704785461503803</v>
      </c>
      <c r="C23">
        <v>54.128327722819598</v>
      </c>
      <c r="D23">
        <v>47</v>
      </c>
      <c r="E23">
        <v>32.413793103448199</v>
      </c>
      <c r="F23">
        <v>40.4628500422684</v>
      </c>
      <c r="G23">
        <v>35.124096111637797</v>
      </c>
      <c r="H23">
        <v>19</v>
      </c>
      <c r="I23">
        <v>13.4751773049645</v>
      </c>
      <c r="J23">
        <v>74.138357363013597</v>
      </c>
      <c r="K23">
        <v>72.151409260563298</v>
      </c>
      <c r="L23">
        <v>65.099999999999994</v>
      </c>
      <c r="M23">
        <v>67.400000000000006</v>
      </c>
      <c r="N23">
        <v>84.8</v>
      </c>
      <c r="O23">
        <v>77.5</v>
      </c>
      <c r="P23">
        <v>4.7588501161487198</v>
      </c>
      <c r="Q23">
        <v>1.72428339414023</v>
      </c>
      <c r="R23">
        <v>-1.9869481024503099</v>
      </c>
      <c r="S23" t="s">
        <v>37</v>
      </c>
      <c r="T23" t="s">
        <v>54</v>
      </c>
      <c r="U23" t="s">
        <v>39</v>
      </c>
      <c r="V23" t="s">
        <v>38</v>
      </c>
      <c r="W23" t="s">
        <v>40</v>
      </c>
      <c r="X23" t="s">
        <v>41</v>
      </c>
      <c r="Y23" t="s">
        <v>42</v>
      </c>
      <c r="Z23" t="s">
        <v>48</v>
      </c>
      <c r="AA23" t="s">
        <v>44</v>
      </c>
      <c r="AB23" t="s">
        <v>43</v>
      </c>
      <c r="AC23" s="3" cm="1">
        <f t="array" ref="AC23">SUMPRODUCT(S$56:S$59, EXP(-((S$56:S$59-S49)^2)/(2*S$61^2))*EXP(-S$63*MAX(0,S$56:S$59-2)))/SUM(EXP(-((S$56:S$59-S49)^2)/(2*S$61^2))*EXP(-S$63*MAX(0,S$56:S$59-2)))</f>
        <v>1.5194188435271037</v>
      </c>
      <c r="AD23" s="3" cm="1">
        <f t="array" ref="AD23">SUMPRODUCT(T$56:T$59, EXP(-((T$56:T$59-T49)^2)/(2*T$61^2))*EXP(-T$63*MAX(0,T$56:T$59-2)))/SUM(EXP(-((T$56:T$59-T49)^2)/(2*T$61^2))*EXP(-T$63*MAX(0,T$56:T$59-2)))</f>
        <v>2.1152576043443529</v>
      </c>
      <c r="AE23" s="3" cm="1">
        <f t="array" ref="AE23">SUMPRODUCT(U$56:U$59, EXP(-((U$56:U$59-U49)^2)/(2*U$61^2))*EXP(-U$63*MAX(0,U$56:U$59-1)))/SUM(EXP(-((U$56:U$59-U49)^2)/(2*U$61^2))*EXP(-U$63*MAX(0,U$56:U$59-1)))</f>
        <v>1.5194188435271037</v>
      </c>
      <c r="AF23" s="3" cm="1">
        <f t="array" ref="AF23">SUMPRODUCT(V$56:V$59, EXP(-((V$56:V$59-V49)^2)/(2*V$61^2))*EXP(-V$63*MAX(0,V$56:V$59-1)))/SUM(EXP(-((V$56:V$59-V49)^2)/(2*V$61^2))*EXP(-V$63*MAX(0,V$56:V$59-1)))</f>
        <v>2.1152576043443529</v>
      </c>
      <c r="AG23" s="3" cm="1">
        <f t="array" ref="AG23">SUMPRODUCT(Y$56:Y$58, EXP(-((Y$56:Y$58-Y49)^2)/(2*Y$61^2))*EXP(-Y$63*MAX(0,Y$56:Y$58-1)))/SUM(EXP(-((Y$56:Y$58-Y49)^2)/(2*Y$61^2))*EXP(-Y$63*MAX(0,Y$56:Y$58-1)))</f>
        <v>1.5035985861808761</v>
      </c>
      <c r="AH23" s="3" cm="1">
        <f t="array" ref="AH23">SUMPRODUCT(Z$56:Z$58, EXP(-((Z$56:Z$58-Z49)^2)/(2*Z$61^2))*EXP(-Z$63*MAX(0,Z$56:Z$58-2)))/SUM(EXP(-((Z$56:Z$58-Z49)^2)/(2*Z$61^2))*EXP(-Z$63*MAX(0,Z$56:Z$58-2)))</f>
        <v>2.4964014138191239</v>
      </c>
      <c r="AI23" s="3" cm="1">
        <f t="array" ref="AI23">SUMPRODUCT(AA$56:AA$59, EXP(-((AA$56:AA$59-AA49)^2)/(2*AA$61^2))*EXP(-AA$63*ABS(AA$56:AA$59-1)))/SUM(EXP(-((AA$56:AA$59-AA49)^2)/(2*AA$61^2))*EXP(-AA$63*ABS(AA$56:AA$59-1)))</f>
        <v>2.7801545234284921</v>
      </c>
      <c r="AJ23" s="3" cm="1">
        <f t="array" ref="AJ23">SUMPRODUCT(AB$56:AB$59, EXP(-((AB$56:AB$59-AB49)^2)/(2*AB$61^2))*EXP(-AB$63*ABS(AB$56:AB$59-1)))/SUM(EXP(-((AB$56:AB$59-AB49)^2)/(2*AB$61^2))*EXP(-AB$63*ABS(AB$56:AB$59-1)))</f>
        <v>2.0146887820263686</v>
      </c>
    </row>
    <row r="24" spans="1:36">
      <c r="A24" t="s">
        <v>74</v>
      </c>
      <c r="B24">
        <v>2635.7527793741301</v>
      </c>
      <c r="C24">
        <v>3270.5595647635901</v>
      </c>
      <c r="D24">
        <v>28</v>
      </c>
      <c r="E24">
        <v>93.3333333333333</v>
      </c>
      <c r="F24">
        <v>113.617023197226</v>
      </c>
      <c r="G24">
        <v>149.659062538825</v>
      </c>
      <c r="H24">
        <v>13</v>
      </c>
      <c r="I24">
        <v>6.5</v>
      </c>
      <c r="J24">
        <v>46.051613096774098</v>
      </c>
      <c r="K24">
        <v>95.9049756766169</v>
      </c>
      <c r="L24">
        <v>42.8</v>
      </c>
      <c r="M24">
        <v>38.4</v>
      </c>
      <c r="N24">
        <v>48.4</v>
      </c>
      <c r="O24">
        <v>104.6</v>
      </c>
      <c r="P24">
        <v>2.0053047144635698</v>
      </c>
      <c r="Q24">
        <v>15.4885239847397</v>
      </c>
      <c r="R24">
        <v>49.853362579842702</v>
      </c>
      <c r="S24" t="s">
        <v>37</v>
      </c>
      <c r="T24" t="s">
        <v>37</v>
      </c>
      <c r="U24" t="s">
        <v>39</v>
      </c>
      <c r="V24" t="s">
        <v>39</v>
      </c>
      <c r="W24" t="s">
        <v>41</v>
      </c>
      <c r="X24" t="s">
        <v>40</v>
      </c>
      <c r="Y24" t="s">
        <v>52</v>
      </c>
      <c r="Z24" t="s">
        <v>42</v>
      </c>
      <c r="AA24" t="s">
        <v>56</v>
      </c>
      <c r="AB24" t="s">
        <v>43</v>
      </c>
      <c r="AC24" s="3" cm="1">
        <f t="array" ref="AC24">SUMPRODUCT(S$56:S$59, EXP(-((S$56:S$59-S50)^2)/(2*S$61^2))*EXP(-S$63*MAX(0,S$56:S$59-2)))/SUM(EXP(-((S$56:S$59-S50)^2)/(2*S$61^2))*EXP(-S$63*MAX(0,S$56:S$59-2)))</f>
        <v>1.5194188435271037</v>
      </c>
      <c r="AD24" s="3" cm="1">
        <f t="array" ref="AD24">SUMPRODUCT(T$56:T$59, EXP(-((T$56:T$59-T50)^2)/(2*T$61^2))*EXP(-T$63*MAX(0,T$56:T$59-2)))/SUM(EXP(-((T$56:T$59-T50)^2)/(2*T$61^2))*EXP(-T$63*MAX(0,T$56:T$59-2)))</f>
        <v>1.5194188435271037</v>
      </c>
      <c r="AE24" s="3" cm="1">
        <f t="array" ref="AE24">SUMPRODUCT(U$56:U$59, EXP(-((U$56:U$59-U50)^2)/(2*U$61^2))*EXP(-U$63*MAX(0,U$56:U$59-1)))/SUM(EXP(-((U$56:U$59-U50)^2)/(2*U$61^2))*EXP(-U$63*MAX(0,U$56:U$59-1)))</f>
        <v>1.5194188435271037</v>
      </c>
      <c r="AF24" s="3" cm="1">
        <f t="array" ref="AF24">SUMPRODUCT(V$56:V$59, EXP(-((V$56:V$59-V50)^2)/(2*V$61^2))*EXP(-V$63*MAX(0,V$56:V$59-1)))/SUM(EXP(-((V$56:V$59-V50)^2)/(2*V$61^2))*EXP(-V$63*MAX(0,V$56:V$59-1)))</f>
        <v>1.5194188435271037</v>
      </c>
      <c r="AG24" s="3" cm="1">
        <f t="array" ref="AG24">SUMPRODUCT(Y$56:Y$58, EXP(-((Y$56:Y$58-Y50)^2)/(2*Y$61^2))*EXP(-Y$63*MAX(0,Y$56:Y$58-1)))/SUM(EXP(-((Y$56:Y$58-Y50)^2)/(2*Y$61^2))*EXP(-Y$63*MAX(0,Y$56:Y$58-1)))</f>
        <v>2</v>
      </c>
      <c r="AH24" s="3" cm="1">
        <f t="array" ref="AH24">SUMPRODUCT(Z$56:Z$58, EXP(-((Z$56:Z$58-Z50)^2)/(2*Z$61^2))*EXP(-Z$63*MAX(0,Z$56:Z$58-2)))/SUM(EXP(-((Z$56:Z$58-Z50)^2)/(2*Z$61^2))*EXP(-Z$63*MAX(0,Z$56:Z$58-2)))</f>
        <v>1.5035985861808761</v>
      </c>
      <c r="AI24" s="3" cm="1">
        <f t="array" ref="AI24">SUMPRODUCT(AA$56:AA$59, EXP(-((AA$56:AA$59-AA50)^2)/(2*AA$61^2))*EXP(-AA$63*ABS(AA$56:AA$59-1)))/SUM(EXP(-((AA$56:AA$59-AA50)^2)/(2*AA$61^2))*EXP(-AA$63*ABS(AA$56:AA$59-1)))</f>
        <v>3.4156623166236928</v>
      </c>
      <c r="AJ24" s="3" cm="1">
        <f t="array" ref="AJ24">SUMPRODUCT(AB$56:AB$59, EXP(-((AB$56:AB$59-AB50)^2)/(2*AB$61^2))*EXP(-AB$63*ABS(AB$56:AB$59-1)))/SUM(EXP(-((AB$56:AB$59-AB50)^2)/(2*AB$61^2))*EXP(-AB$63*ABS(AB$56:AB$59-1)))</f>
        <v>2.0146887820263686</v>
      </c>
    </row>
    <row r="25" spans="1:36">
      <c r="A25" t="s">
        <v>75</v>
      </c>
      <c r="B25">
        <v>115.07475700669499</v>
      </c>
      <c r="C25">
        <v>129.64379292306299</v>
      </c>
      <c r="D25">
        <v>66</v>
      </c>
      <c r="E25">
        <v>57.391304347826001</v>
      </c>
      <c r="F25">
        <v>149.42619288941199</v>
      </c>
      <c r="G25">
        <v>212.458021639344</v>
      </c>
      <c r="H25">
        <v>16</v>
      </c>
      <c r="I25">
        <v>10.958904109589</v>
      </c>
      <c r="J25">
        <v>61.412069844827499</v>
      </c>
      <c r="K25">
        <v>75.193197925169997</v>
      </c>
      <c r="L25">
        <v>54.4</v>
      </c>
      <c r="M25">
        <v>60.2</v>
      </c>
      <c r="N25">
        <v>85.700005000000004</v>
      </c>
      <c r="O25">
        <v>80.5</v>
      </c>
      <c r="P25">
        <v>9.5361944628308706</v>
      </c>
      <c r="Q25">
        <v>5.2417016239839098</v>
      </c>
      <c r="R25">
        <v>13.7811280803424</v>
      </c>
      <c r="S25" t="s">
        <v>54</v>
      </c>
      <c r="T25" t="s">
        <v>37</v>
      </c>
      <c r="U25" t="s">
        <v>51</v>
      </c>
      <c r="V25" t="s">
        <v>51</v>
      </c>
      <c r="W25" t="s">
        <v>41</v>
      </c>
      <c r="X25" t="s">
        <v>41</v>
      </c>
      <c r="Y25" t="s">
        <v>42</v>
      </c>
      <c r="Z25" t="s">
        <v>52</v>
      </c>
      <c r="AA25" t="s">
        <v>56</v>
      </c>
      <c r="AB25" t="s">
        <v>44</v>
      </c>
      <c r="AC25" s="3" cm="1">
        <f t="array" ref="AC25">SUMPRODUCT(S$56:S$59, EXP(-((S$56:S$59-S51)^2)/(2*S$61^2))*EXP(-S$63*MAX(0,S$56:S$59-2)))/SUM(EXP(-((S$56:S$59-S51)^2)/(2*S$61^2))*EXP(-S$63*MAX(0,S$56:S$59-2)))</f>
        <v>2.1152576043443529</v>
      </c>
      <c r="AD25" s="3" cm="1">
        <f t="array" ref="AD25">SUMPRODUCT(T$56:T$59, EXP(-((T$56:T$59-T51)^2)/(2*T$61^2))*EXP(-T$63*MAX(0,T$56:T$59-2)))/SUM(EXP(-((T$56:T$59-T51)^2)/(2*T$61^2))*EXP(-T$63*MAX(0,T$56:T$59-2)))</f>
        <v>1.5194188435271037</v>
      </c>
      <c r="AE25" s="3" cm="1">
        <f t="array" ref="AE25">SUMPRODUCT(U$56:U$59, EXP(-((U$56:U$59-U51)^2)/(2*U$61^2))*EXP(-U$63*MAX(0,U$56:U$59-1)))/SUM(EXP(-((U$56:U$59-U51)^2)/(2*U$61^2))*EXP(-U$63*MAX(0,U$56:U$59-1)))</f>
        <v>2.8847423956556475</v>
      </c>
      <c r="AF25" s="3" cm="1">
        <f t="array" ref="AF25">SUMPRODUCT(V$56:V$59, EXP(-((V$56:V$59-V51)^2)/(2*V$61^2))*EXP(-V$63*MAX(0,V$56:V$59-1)))/SUM(EXP(-((V$56:V$59-V51)^2)/(2*V$61^2))*EXP(-V$63*MAX(0,V$56:V$59-1)))</f>
        <v>2.8847423956556475</v>
      </c>
      <c r="AG25" s="3" cm="1">
        <f t="array" ref="AG25">SUMPRODUCT(Y$56:Y$58, EXP(-((Y$56:Y$58-Y51)^2)/(2*Y$61^2))*EXP(-Y$63*MAX(0,Y$56:Y$58-1)))/SUM(EXP(-((Y$56:Y$58-Y51)^2)/(2*Y$61^2))*EXP(-Y$63*MAX(0,Y$56:Y$58-1)))</f>
        <v>1.5035985861808761</v>
      </c>
      <c r="AH25" s="3" cm="1">
        <f t="array" ref="AH25">SUMPRODUCT(Z$56:Z$58, EXP(-((Z$56:Z$58-Z51)^2)/(2*Z$61^2))*EXP(-Z$63*MAX(0,Z$56:Z$58-2)))/SUM(EXP(-((Z$56:Z$58-Z51)^2)/(2*Z$61^2))*EXP(-Z$63*MAX(0,Z$56:Z$58-2)))</f>
        <v>2</v>
      </c>
      <c r="AI25" s="3" cm="1">
        <f t="array" ref="AI25">SUMPRODUCT(AA$56:AA$59, EXP(-((AA$56:AA$59-AA51)^2)/(2*AA$61^2))*EXP(-AA$63*ABS(AA$56:AA$59-1)))/SUM(EXP(-((AA$56:AA$59-AA51)^2)/(2*AA$61^2))*EXP(-AA$63*ABS(AA$56:AA$59-1)))</f>
        <v>3.4156623166236928</v>
      </c>
      <c r="AJ25" s="3" cm="1">
        <f t="array" ref="AJ25">SUMPRODUCT(AB$56:AB$59, EXP(-((AB$56:AB$59-AB51)^2)/(2*AB$61^2))*EXP(-AB$63*ABS(AB$56:AB$59-1)))/SUM(EXP(-((AB$56:AB$59-AB51)^2)/(2*AB$61^2))*EXP(-AB$63*ABS(AB$56:AB$59-1)))</f>
        <v>2.7801545234284921</v>
      </c>
    </row>
    <row r="26" spans="1:36">
      <c r="A26" t="s">
        <v>76</v>
      </c>
      <c r="B26">
        <v>59.462367462849102</v>
      </c>
      <c r="C26">
        <v>48.219680781594697</v>
      </c>
      <c r="D26">
        <v>39</v>
      </c>
      <c r="E26">
        <v>35.779816513761403</v>
      </c>
      <c r="F26">
        <v>43.962588866650599</v>
      </c>
      <c r="G26">
        <v>39.383825541530499</v>
      </c>
      <c r="H26">
        <v>24</v>
      </c>
      <c r="I26">
        <v>17.1428571428571</v>
      </c>
      <c r="J26">
        <v>57.989091463636299</v>
      </c>
      <c r="K26">
        <v>70.627660326241099</v>
      </c>
      <c r="L26">
        <v>53.5</v>
      </c>
      <c r="M26">
        <v>55.4</v>
      </c>
      <c r="N26">
        <v>72</v>
      </c>
      <c r="O26">
        <v>81.700005000000004</v>
      </c>
      <c r="P26">
        <v>4.7504773855925997</v>
      </c>
      <c r="Q26">
        <v>6.4863716716535498</v>
      </c>
      <c r="R26">
        <v>12.6385688626047</v>
      </c>
      <c r="S26" t="s">
        <v>37</v>
      </c>
      <c r="T26" t="s">
        <v>37</v>
      </c>
      <c r="U26" t="s">
        <v>47</v>
      </c>
      <c r="V26" t="s">
        <v>38</v>
      </c>
      <c r="W26" t="s">
        <v>40</v>
      </c>
      <c r="X26" t="s">
        <v>41</v>
      </c>
      <c r="Y26" t="s">
        <v>42</v>
      </c>
      <c r="Z26" t="s">
        <v>52</v>
      </c>
      <c r="AA26" t="s">
        <v>43</v>
      </c>
      <c r="AB26" t="s">
        <v>43</v>
      </c>
      <c r="AC26" s="3" cm="1">
        <f t="array" ref="AC26">SUMPRODUCT(S$56:S$59, EXP(-((S$56:S$59-S52)^2)/(2*S$61^2))*EXP(-S$63*MAX(0,S$56:S$59-2)))/SUM(EXP(-((S$56:S$59-S52)^2)/(2*S$61^2))*EXP(-S$63*MAX(0,S$56:S$59-2)))</f>
        <v>1.5194188435271037</v>
      </c>
      <c r="AD26" s="3" cm="1">
        <f t="array" ref="AD26">SUMPRODUCT(T$56:T$59, EXP(-((T$56:T$59-T52)^2)/(2*T$61^2))*EXP(-T$63*MAX(0,T$56:T$59-2)))/SUM(EXP(-((T$56:T$59-T52)^2)/(2*T$61^2))*EXP(-T$63*MAX(0,T$56:T$59-2)))</f>
        <v>1.5194188435271037</v>
      </c>
      <c r="AE26" s="3" cm="1">
        <f t="array" ref="AE26">SUMPRODUCT(U$56:U$59, EXP(-((U$56:U$59-U52)^2)/(2*U$61^2))*EXP(-U$63*MAX(0,U$56:U$59-1)))/SUM(EXP(-((U$56:U$59-U52)^2)/(2*U$61^2))*EXP(-U$63*MAX(0,U$56:U$59-1)))</f>
        <v>3.4805811564728959</v>
      </c>
      <c r="AF26" s="3" cm="1">
        <f t="array" ref="AF26">SUMPRODUCT(V$56:V$59, EXP(-((V$56:V$59-V52)^2)/(2*V$61^2))*EXP(-V$63*MAX(0,V$56:V$59-1)))/SUM(EXP(-((V$56:V$59-V52)^2)/(2*V$61^2))*EXP(-V$63*MAX(0,V$56:V$59-1)))</f>
        <v>2.1152576043443529</v>
      </c>
      <c r="AG26" s="3" cm="1">
        <f t="array" ref="AG26">SUMPRODUCT(Y$56:Y$58, EXP(-((Y$56:Y$58-Y52)^2)/(2*Y$61^2))*EXP(-Y$63*MAX(0,Y$56:Y$58-1)))/SUM(EXP(-((Y$56:Y$58-Y52)^2)/(2*Y$61^2))*EXP(-Y$63*MAX(0,Y$56:Y$58-1)))</f>
        <v>1.5035985861808761</v>
      </c>
      <c r="AH26" s="3" cm="1">
        <f t="array" ref="AH26">SUMPRODUCT(Z$56:Z$58, EXP(-((Z$56:Z$58-Z52)^2)/(2*Z$61^2))*EXP(-Z$63*MAX(0,Z$56:Z$58-2)))/SUM(EXP(-((Z$56:Z$58-Z52)^2)/(2*Z$61^2))*EXP(-Z$63*MAX(0,Z$56:Z$58-2)))</f>
        <v>2</v>
      </c>
      <c r="AI26" s="3" cm="1">
        <f t="array" ref="AI26">SUMPRODUCT(AA$56:AA$59, EXP(-((AA$56:AA$59-AA52)^2)/(2*AA$61^2))*EXP(-AA$63*ABS(AA$56:AA$59-1)))/SUM(EXP(-((AA$56:AA$59-AA52)^2)/(2*AA$61^2))*EXP(-AA$63*ABS(AA$56:AA$59-1)))</f>
        <v>2.0146887820263686</v>
      </c>
      <c r="AJ26" s="3" cm="1">
        <f t="array" ref="AJ26">SUMPRODUCT(AB$56:AB$59, EXP(-((AB$56:AB$59-AB52)^2)/(2*AB$61^2))*EXP(-AB$63*ABS(AB$56:AB$59-1)))/SUM(EXP(-((AB$56:AB$59-AB52)^2)/(2*AB$61^2))*EXP(-AB$63*ABS(AB$56:AB$59-1)))</f>
        <v>2.0146887820263686</v>
      </c>
    </row>
    <row r="28" spans="1:36">
      <c r="S28" s="2" cm="1">
        <f t="array" ref="S28">_xlfn.IFS($S2="&lt;120", 1, $S2="120-140",2, $S2="140-180",3, $S2="&gt;180",4)</f>
        <v>1</v>
      </c>
      <c r="T28" cm="1">
        <f t="array" ref="T28">_xlfn.IFS($T2="&lt;120", 1, $T2="120-140",2, $T2="140-180",3, $T2="&gt;180",4)</f>
        <v>1</v>
      </c>
      <c r="U28" cm="1">
        <f t="array" ref="U28">_xlfn.IFS($U2="&lt;5", 1, $U2="5-6.5",2, $U2="6.5-8",3, $U2="&gt;8",4)</f>
        <v>2</v>
      </c>
      <c r="V28" cm="1">
        <f t="array" ref="V28">_xlfn.IFS(V2="&lt;5", 1, V2="5-6.5",2, V2="6.5-8",3, V2="&gt;8",4)</f>
        <v>1</v>
      </c>
      <c r="Y28" cm="1">
        <f t="array" ref="Y28">_xlfn.IFS(Y2="&lt;7.8", 1, Y2="7.8-11",2, Y2="&gt;11.1",3)</f>
        <v>1</v>
      </c>
      <c r="Z28" cm="1">
        <f t="array" ref="Z28">_xlfn.IFS(Z2="&lt;7.8", 1, Z2="7.8-11",2, Z2="&gt;11.1",3)</f>
        <v>1</v>
      </c>
      <c r="AA28" s="2" cm="1">
        <f t="array" ref="AA28">_xlfn.IFS($AA2="&lt;18.5", 1, $AA2="18.5-25",2, $AA2="25-30",3, $AA2="&gt;30",4)</f>
        <v>2</v>
      </c>
      <c r="AB28" s="2" cm="1">
        <f t="array" ref="AB28">_xlfn.IFS($AB2="&lt;18.5", 1, $AB2="18.5-25",2, $AB2="25-30",3, $AB2="&gt;30",4)</f>
        <v>3</v>
      </c>
    </row>
    <row r="29" spans="1:36">
      <c r="S29" s="2" cm="1">
        <f t="array" ref="S29">_xlfn.IFS($S3="&lt;120", 1, $S3="120-140",2, $S3="140-180",3, $S3="&gt;180",4)</f>
        <v>1</v>
      </c>
      <c r="T29" cm="1">
        <f t="array" ref="T29">_xlfn.IFS($T3="&lt;120", 1, $T3="120-140",2, $T3="140-180",3, $T3="&gt;180",4)</f>
        <v>3</v>
      </c>
      <c r="U29" cm="1">
        <f t="array" ref="U29">_xlfn.IFS($U3="&lt;5", 1, $U3="5-6.5",2, $U3="6.5-8",3, $U3="&gt;8",4)</f>
        <v>1</v>
      </c>
      <c r="V29" cm="1">
        <f t="array" ref="V29">_xlfn.IFS(V3="&lt;5", 1, V3="5-6.5",2, V3="6.5-8",3, V3="&gt;8",4)</f>
        <v>4</v>
      </c>
      <c r="Y29" cm="1">
        <f t="array" ref="Y29">_xlfn.IFS(Y3="&lt;7.8", 1, Y3="7.8-11",2, Y3="&gt;11.1",3)</f>
        <v>3</v>
      </c>
      <c r="Z29" cm="1">
        <f t="array" ref="Z29">_xlfn.IFS(Z3="&lt;7.8", 1, Z3="7.8-11",2, Z3="&gt;11.1",3)</f>
        <v>1</v>
      </c>
      <c r="AA29" s="2" cm="1">
        <f t="array" ref="AA29">_xlfn.IFS($AA3="&lt;18.5", 1, $AA3="18.5-25",2, $AA3="25-30",3, $AA3="&gt;30",4)</f>
        <v>3</v>
      </c>
      <c r="AB29" s="2" cm="1">
        <f t="array" ref="AB29">_xlfn.IFS($AB3="&lt;18.5", 1, $AB3="18.5-25",2, $AB3="25-30",3, $AB3="&gt;30",4)</f>
        <v>3</v>
      </c>
    </row>
    <row r="30" spans="1:36">
      <c r="S30" s="2" cm="1">
        <f t="array" ref="S30">_xlfn.IFS($S4="&lt;120", 1, $S4="120-140",2, $S4="140-180",3, $S4="&gt;180",4)</f>
        <v>3</v>
      </c>
      <c r="T30" cm="1">
        <f t="array" ref="T30">_xlfn.IFS($T4="&lt;120", 1, $T4="120-140",2, $T4="140-180",3, $T4="&gt;180",4)</f>
        <v>1</v>
      </c>
      <c r="U30" cm="1">
        <f t="array" ref="U30">_xlfn.IFS($U4="&lt;5", 1, $U4="5-6.5",2, $U4="6.5-8",3, $U4="&gt;8",4)</f>
        <v>2</v>
      </c>
      <c r="V30" cm="1">
        <f t="array" ref="V30">_xlfn.IFS(V4="&lt;5", 1, V4="5-6.5",2, V4="6.5-8",3, V4="&gt;8",4)</f>
        <v>2</v>
      </c>
      <c r="Y30" cm="1">
        <f t="array" ref="Y30">_xlfn.IFS(Y4="&lt;7.8", 1, Y4="7.8-11",2, Y4="&gt;11.1",3)</f>
        <v>3</v>
      </c>
      <c r="Z30" cm="1">
        <f t="array" ref="Z30">_xlfn.IFS(Z4="&lt;7.8", 1, Z4="7.8-11",2, Z4="&gt;11.1",3)</f>
        <v>1</v>
      </c>
      <c r="AA30" s="2" cm="1">
        <f t="array" ref="AA30">_xlfn.IFS($AA4="&lt;18.5", 1, $AA4="18.5-25",2, $AA4="25-30",3, $AA4="&gt;30",4)</f>
        <v>3</v>
      </c>
      <c r="AB30" s="2" cm="1">
        <f t="array" ref="AB30">_xlfn.IFS($AB4="&lt;18.5", 1, $AB4="18.5-25",2, $AB4="25-30",3, $AB4="&gt;30",4)</f>
        <v>3</v>
      </c>
    </row>
    <row r="31" spans="1:36">
      <c r="S31" s="2" cm="1">
        <f t="array" ref="S31">_xlfn.IFS($S5="&lt;120", 1, $S5="120-140",2, $S5="140-180",3, $S5="&gt;180",4)</f>
        <v>1</v>
      </c>
      <c r="T31" cm="1">
        <f t="array" ref="T31">_xlfn.IFS($T5="&lt;120", 1, $T5="120-140",2, $T5="140-180",3, $T5="&gt;180",4)</f>
        <v>1</v>
      </c>
      <c r="U31" cm="1">
        <f t="array" ref="U31">_xlfn.IFS($U5="&lt;5", 1, $U5="5-6.5",2, $U5="6.5-8",3, $U5="&gt;8",4)</f>
        <v>1</v>
      </c>
      <c r="V31" cm="1">
        <f t="array" ref="V31">_xlfn.IFS(V5="&lt;5", 1, V5="5-6.5",2, V5="6.5-8",3, V5="&gt;8",4)</f>
        <v>3</v>
      </c>
      <c r="Y31" cm="1">
        <f t="array" ref="Y31">_xlfn.IFS(Y5="&lt;7.8", 1, Y5="7.8-11",2, Y5="&gt;11.1",3)</f>
        <v>1</v>
      </c>
      <c r="Z31" cm="1">
        <f t="array" ref="Z31">_xlfn.IFS(Z5="&lt;7.8", 1, Z5="7.8-11",2, Z5="&gt;11.1",3)</f>
        <v>2</v>
      </c>
      <c r="AA31" s="2" cm="1">
        <f t="array" ref="AA31">_xlfn.IFS($AA5="&lt;18.5", 1, $AA5="18.5-25",2, $AA5="25-30",3, $AA5="&gt;30",4)</f>
        <v>2</v>
      </c>
      <c r="AB31" s="2" cm="1">
        <f t="array" ref="AB31">_xlfn.IFS($AB5="&lt;18.5", 1, $AB5="18.5-25",2, $AB5="25-30",3, $AB5="&gt;30",4)</f>
        <v>2</v>
      </c>
    </row>
    <row r="32" spans="1:36">
      <c r="C32" cm="1">
        <f t="array" ref="C32">SUMPRODUCT(
 B32:B35,
 EXP(-((B32:B35-$B$33)^2)/2)
)
/
SUM(
 EXP(-((B32:B35-$B$33)^2)/2)
)</f>
        <v>0</v>
      </c>
      <c r="S32" s="2" cm="1">
        <f t="array" ref="S32">_xlfn.IFS($S6="&lt;120", 1, $S6="120-140",2, $S6="140-180",3, $S6="&gt;180",4)</f>
        <v>2</v>
      </c>
      <c r="T32" cm="1">
        <f t="array" ref="T32">_xlfn.IFS($T6="&lt;120", 1, $T6="120-140",2, $T6="140-180",3, $T6="&gt;180",4)</f>
        <v>3</v>
      </c>
      <c r="U32" cm="1">
        <f t="array" ref="U32">_xlfn.IFS($U6="&lt;5", 1, $U6="5-6.5",2, $U6="6.5-8",3, $U6="&gt;8",4)</f>
        <v>1</v>
      </c>
      <c r="V32" cm="1">
        <f t="array" ref="V32">_xlfn.IFS(V6="&lt;5", 1, V6="5-6.5",2, V6="6.5-8",3, V6="&gt;8",4)</f>
        <v>3</v>
      </c>
      <c r="Y32" cm="1">
        <f t="array" ref="Y32">_xlfn.IFS(Y6="&lt;7.8", 1, Y6="7.8-11",2, Y6="&gt;11.1",3)</f>
        <v>1</v>
      </c>
      <c r="Z32" cm="1">
        <f t="array" ref="Z32">_xlfn.IFS(Z6="&lt;7.8", 1, Z6="7.8-11",2, Z6="&gt;11.1",3)</f>
        <v>1</v>
      </c>
      <c r="AA32" s="2" cm="1">
        <f t="array" ref="AA32">_xlfn.IFS($AA6="&lt;18.5", 1, $AA6="18.5-25",2, $AA6="25-30",3, $AA6="&gt;30",4)</f>
        <v>2</v>
      </c>
      <c r="AB32" s="2" cm="1">
        <f t="array" ref="AB32">_xlfn.IFS($AB6="&lt;18.5", 1, $AB6="18.5-25",2, $AB6="25-30",3, $AB6="&gt;30",4)</f>
        <v>2</v>
      </c>
    </row>
    <row r="33" spans="19:28">
      <c r="S33" s="2" cm="1">
        <f t="array" ref="S33">_xlfn.IFS($S7="&lt;120", 1, $S7="120-140",2, $S7="140-180",3, $S7="&gt;180",4)</f>
        <v>1</v>
      </c>
      <c r="T33" cm="1">
        <f t="array" ref="T33">_xlfn.IFS($T7="&lt;120", 1, $T7="120-140",2, $T7="140-180",3, $T7="&gt;180",4)</f>
        <v>1</v>
      </c>
      <c r="U33" cm="1">
        <f t="array" ref="U33">_xlfn.IFS($U7="&lt;5", 1, $U7="5-6.5",2, $U7="6.5-8",3, $U7="&gt;8",4)</f>
        <v>1</v>
      </c>
      <c r="V33" cm="1">
        <f t="array" ref="V33">_xlfn.IFS(V7="&lt;5", 1, V7="5-6.5",2, V7="6.5-8",3, V7="&gt;8",4)</f>
        <v>1</v>
      </c>
      <c r="Y33" cm="1">
        <f t="array" ref="Y33">_xlfn.IFS(Y7="&lt;7.8", 1, Y7="7.8-11",2, Y7="&gt;11.1",3)</f>
        <v>1</v>
      </c>
      <c r="Z33" cm="1">
        <f t="array" ref="Z33">_xlfn.IFS(Z7="&lt;7.8", 1, Z7="7.8-11",2, Z7="&gt;11.1",3)</f>
        <v>2</v>
      </c>
      <c r="AA33" s="2" cm="1">
        <f t="array" ref="AA33">_xlfn.IFS($AA7="&lt;18.5", 1, $AA7="18.5-25",2, $AA7="25-30",3, $AA7="&gt;30",4)</f>
        <v>4</v>
      </c>
      <c r="AB33" s="2" cm="1">
        <f t="array" ref="AB33">_xlfn.IFS($AB7="&lt;18.5", 1, $AB7="18.5-25",2, $AB7="25-30",3, $AB7="&gt;30",4)</f>
        <v>2</v>
      </c>
    </row>
    <row r="34" spans="19:28">
      <c r="S34" s="2" cm="1">
        <f t="array" ref="S34">_xlfn.IFS($S8="&lt;120", 1, $S8="120-140",2, $S8="140-180",3, $S8="&gt;180",4)</f>
        <v>2</v>
      </c>
      <c r="T34" cm="1">
        <f t="array" ref="T34">_xlfn.IFS($T8="&lt;120", 1, $T8="120-140",2, $T8="140-180",3, $T8="&gt;180",4)</f>
        <v>2</v>
      </c>
      <c r="U34" cm="1">
        <f t="array" ref="U34">_xlfn.IFS($U8="&lt;5", 1, $U8="5-6.5",2, $U8="6.5-8",3, $U8="&gt;8",4)</f>
        <v>1</v>
      </c>
      <c r="V34" cm="1">
        <f t="array" ref="V34">_xlfn.IFS(V8="&lt;5", 1, V8="5-6.5",2, V8="6.5-8",3, V8="&gt;8",4)</f>
        <v>1</v>
      </c>
      <c r="Y34" cm="1">
        <f t="array" ref="Y34">_xlfn.IFS(Y8="&lt;7.8", 1, Y8="7.8-11",2, Y8="&gt;11.1",3)</f>
        <v>2</v>
      </c>
      <c r="Z34" cm="1">
        <f t="array" ref="Z34">_xlfn.IFS(Z8="&lt;7.8", 1, Z8="7.8-11",2, Z8="&gt;11.1",3)</f>
        <v>2</v>
      </c>
      <c r="AA34" s="2" cm="1">
        <f t="array" ref="AA34">_xlfn.IFS($AA8="&lt;18.5", 1, $AA8="18.5-25",2, $AA8="25-30",3, $AA8="&gt;30",4)</f>
        <v>2</v>
      </c>
      <c r="AB34" s="2" cm="1">
        <f t="array" ref="AB34">_xlfn.IFS($AB8="&lt;18.5", 1, $AB8="18.5-25",2, $AB8="25-30",3, $AB8="&gt;30",4)</f>
        <v>4</v>
      </c>
    </row>
    <row r="35" spans="19:28">
      <c r="S35" s="2" cm="1">
        <f t="array" ref="S35">_xlfn.IFS($S9="&lt;120", 1, $S9="120-140",2, $S9="140-180",3, $S9="&gt;180",4)</f>
        <v>1</v>
      </c>
      <c r="T35" cm="1">
        <f t="array" ref="T35">_xlfn.IFS($T9="&lt;120", 1, $T9="120-140",2, $T9="140-180",3, $T9="&gt;180",4)</f>
        <v>1</v>
      </c>
      <c r="U35" cm="1">
        <f t="array" ref="U35">_xlfn.IFS($U9="&lt;5", 1, $U9="5-6.5",2, $U9="6.5-8",3, $U9="&gt;8",4)</f>
        <v>1</v>
      </c>
      <c r="V35" cm="1">
        <f t="array" ref="V35">_xlfn.IFS(V9="&lt;5", 1, V9="5-6.5",2, V9="6.5-8",3, V9="&gt;8",4)</f>
        <v>1</v>
      </c>
      <c r="Y35" cm="1">
        <f t="array" ref="Y35">_xlfn.IFS(Y9="&lt;7.8", 1, Y9="7.8-11",2, Y9="&gt;11.1",3)</f>
        <v>3</v>
      </c>
      <c r="Z35" cm="1">
        <f t="array" ref="Z35">_xlfn.IFS(Z9="&lt;7.8", 1, Z9="7.8-11",2, Z9="&gt;11.1",3)</f>
        <v>2</v>
      </c>
      <c r="AA35" s="2" cm="1">
        <f t="array" ref="AA35">_xlfn.IFS($AA9="&lt;18.5", 1, $AA9="18.5-25",2, $AA9="25-30",3, $AA9="&gt;30",4)</f>
        <v>3</v>
      </c>
      <c r="AB35" s="2" cm="1">
        <f t="array" ref="AB35">_xlfn.IFS($AB9="&lt;18.5", 1, $AB9="18.5-25",2, $AB9="25-30",3, $AB9="&gt;30",4)</f>
        <v>2</v>
      </c>
    </row>
    <row r="36" spans="19:28">
      <c r="S36" s="2" cm="1">
        <f t="array" ref="S36">_xlfn.IFS($S10="&lt;120", 1, $S10="120-140",2, $S10="140-180",3, $S10="&gt;180",4)</f>
        <v>1</v>
      </c>
      <c r="T36" cm="1">
        <f t="array" ref="T36">_xlfn.IFS($T10="&lt;120", 1, $T10="120-140",2, $T10="140-180",3, $T10="&gt;180",4)</f>
        <v>3</v>
      </c>
      <c r="U36" cm="1">
        <f t="array" ref="U36">_xlfn.IFS($U10="&lt;5", 1, $U10="5-6.5",2, $U10="6.5-8",3, $U10="&gt;8",4)</f>
        <v>1</v>
      </c>
      <c r="V36" cm="1">
        <f t="array" ref="V36">_xlfn.IFS(V10="&lt;5", 1, V10="5-6.5",2, V10="6.5-8",3, V10="&gt;8",4)</f>
        <v>1</v>
      </c>
      <c r="Y36" cm="1">
        <f t="array" ref="Y36">_xlfn.IFS(Y10="&lt;7.8", 1, Y10="7.8-11",2, Y10="&gt;11.1",3)</f>
        <v>1</v>
      </c>
      <c r="Z36" cm="1">
        <f t="array" ref="Z36">_xlfn.IFS(Z10="&lt;7.8", 1, Z10="7.8-11",2, Z10="&gt;11.1",3)</f>
        <v>1</v>
      </c>
      <c r="AA36" s="2" cm="1">
        <f t="array" ref="AA36">_xlfn.IFS($AA10="&lt;18.5", 1, $AA10="18.5-25",2, $AA10="25-30",3, $AA10="&gt;30",4)</f>
        <v>2</v>
      </c>
      <c r="AB36" s="2" cm="1">
        <f t="array" ref="AB36">_xlfn.IFS($AB10="&lt;18.5", 1, $AB10="18.5-25",2, $AB10="25-30",3, $AB10="&gt;30",4)</f>
        <v>3</v>
      </c>
    </row>
    <row r="37" spans="19:28">
      <c r="S37" s="2" cm="1">
        <f t="array" ref="S37">_xlfn.IFS($S11="&lt;120", 1, $S11="120-140",2, $S11="140-180",3, $S11="&gt;180",4)</f>
        <v>2</v>
      </c>
      <c r="T37" cm="1">
        <f t="array" ref="T37">_xlfn.IFS($T11="&lt;120", 1, $T11="120-140",2, $T11="140-180",3, $T11="&gt;180",4)</f>
        <v>1</v>
      </c>
      <c r="U37" cm="1">
        <f t="array" ref="U37">_xlfn.IFS($U11="&lt;5", 1, $U11="5-6.5",2, $U11="6.5-8",3, $U11="&gt;8",4)</f>
        <v>2</v>
      </c>
      <c r="V37" cm="1">
        <f t="array" ref="V37">_xlfn.IFS(V11="&lt;5", 1, V11="5-6.5",2, V11="6.5-8",3, V11="&gt;8",4)</f>
        <v>2</v>
      </c>
      <c r="Y37" cm="1">
        <f t="array" ref="Y37">_xlfn.IFS(Y11="&lt;7.8", 1, Y11="7.8-11",2, Y11="&gt;11.1",3)</f>
        <v>2</v>
      </c>
      <c r="Z37" cm="1">
        <f t="array" ref="Z37">_xlfn.IFS(Z11="&lt;7.8", 1, Z11="7.8-11",2, Z11="&gt;11.1",3)</f>
        <v>2</v>
      </c>
      <c r="AA37" s="2" cm="1">
        <f t="array" ref="AA37">_xlfn.IFS($AA11="&lt;18.5", 1, $AA11="18.5-25",2, $AA11="25-30",3, $AA11="&gt;30",4)</f>
        <v>2</v>
      </c>
      <c r="AB37" s="2" cm="1">
        <f t="array" ref="AB37">_xlfn.IFS($AB11="&lt;18.5", 1, $AB11="18.5-25",2, $AB11="25-30",3, $AB11="&gt;30",4)</f>
        <v>1</v>
      </c>
    </row>
    <row r="38" spans="19:28">
      <c r="S38" s="2" cm="1">
        <f t="array" ref="S38">_xlfn.IFS($S12="&lt;120", 1, $S12="120-140",2, $S12="140-180",3, $S12="&gt;180",4)</f>
        <v>1</v>
      </c>
      <c r="T38" cm="1">
        <f t="array" ref="T38">_xlfn.IFS($T12="&lt;120", 1, $T12="120-140",2, $T12="140-180",3, $T12="&gt;180",4)</f>
        <v>1</v>
      </c>
      <c r="U38" cm="1">
        <f t="array" ref="U38">_xlfn.IFS($U12="&lt;5", 1, $U12="5-6.5",2, $U12="6.5-8",3, $U12="&gt;8",4)</f>
        <v>1</v>
      </c>
      <c r="V38" cm="1">
        <f t="array" ref="V38">_xlfn.IFS(V12="&lt;5", 1, V12="5-6.5",2, V12="6.5-8",3, V12="&gt;8",4)</f>
        <v>2</v>
      </c>
      <c r="Y38" cm="1">
        <f t="array" ref="Y38">_xlfn.IFS(Y12="&lt;7.8", 1, Y12="7.8-11",2, Y12="&gt;11.1",3)</f>
        <v>1</v>
      </c>
      <c r="Z38" cm="1">
        <f t="array" ref="Z38">_xlfn.IFS(Z12="&lt;7.8", 1, Z12="7.8-11",2, Z12="&gt;11.1",3)</f>
        <v>1</v>
      </c>
      <c r="AA38" s="2" cm="1">
        <f t="array" ref="AA38">_xlfn.IFS($AA12="&lt;18.5", 1, $AA12="18.5-25",2, $AA12="25-30",3, $AA12="&gt;30",4)</f>
        <v>4</v>
      </c>
      <c r="AB38" s="2" cm="1">
        <f t="array" ref="AB38">_xlfn.IFS($AB12="&lt;18.5", 1, $AB12="18.5-25",2, $AB12="25-30",3, $AB12="&gt;30",4)</f>
        <v>1</v>
      </c>
    </row>
    <row r="39" spans="19:28">
      <c r="S39" s="2" cm="1">
        <f t="array" ref="S39">_xlfn.IFS($S13="&lt;120", 1, $S13="120-140",2, $S13="140-180",3, $S13="&gt;180",4)</f>
        <v>1</v>
      </c>
      <c r="T39" cm="1">
        <f t="array" ref="T39">_xlfn.IFS($T13="&lt;120", 1, $T13="120-140",2, $T13="140-180",3, $T13="&gt;180",4)</f>
        <v>2</v>
      </c>
      <c r="U39" cm="1">
        <f t="array" ref="U39">_xlfn.IFS($U13="&lt;5", 1, $U13="5-6.5",2, $U13="6.5-8",3, $U13="&gt;8",4)</f>
        <v>1</v>
      </c>
      <c r="V39" cm="1">
        <f t="array" ref="V39">_xlfn.IFS(V13="&lt;5", 1, V13="5-6.5",2, V13="6.5-8",3, V13="&gt;8",4)</f>
        <v>1</v>
      </c>
      <c r="Y39" cm="1">
        <f t="array" ref="Y39">_xlfn.IFS(Y13="&lt;7.8", 1, Y13="7.8-11",2, Y13="&gt;11.1",3)</f>
        <v>2</v>
      </c>
      <c r="Z39" cm="1">
        <f t="array" ref="Z39">_xlfn.IFS(Z13="&lt;7.8", 1, Z13="7.8-11",2, Z13="&gt;11.1",3)</f>
        <v>2</v>
      </c>
      <c r="AA39" s="2" cm="1">
        <f t="array" ref="AA39">_xlfn.IFS($AA13="&lt;18.5", 1, $AA13="18.5-25",2, $AA13="25-30",3, $AA13="&gt;30",4)</f>
        <v>2</v>
      </c>
      <c r="AB39" s="2" cm="1">
        <f t="array" ref="AB39">_xlfn.IFS($AB13="&lt;18.5", 1, $AB13="18.5-25",2, $AB13="25-30",3, $AB13="&gt;30",4)</f>
        <v>3</v>
      </c>
    </row>
    <row r="40" spans="19:28">
      <c r="S40" s="2" cm="1">
        <f t="array" ref="S40">_xlfn.IFS($S14="&lt;120", 1, $S14="120-140",2, $S14="140-180",3, $S14="&gt;180",4)</f>
        <v>1</v>
      </c>
      <c r="T40" cm="1">
        <f t="array" ref="T40">_xlfn.IFS($T14="&lt;120", 1, $T14="120-140",2, $T14="140-180",3, $T14="&gt;180",4)</f>
        <v>3</v>
      </c>
      <c r="U40" cm="1">
        <f t="array" ref="U40">_xlfn.IFS($U14="&lt;5", 1, $U14="5-6.5",2, $U14="6.5-8",3, $U14="&gt;8",4)</f>
        <v>2</v>
      </c>
      <c r="V40" cm="1">
        <f t="array" ref="V40">_xlfn.IFS(V14="&lt;5", 1, V14="5-6.5",2, V14="6.5-8",3, V14="&gt;8",4)</f>
        <v>1</v>
      </c>
      <c r="Y40" cm="1">
        <f t="array" ref="Y40">_xlfn.IFS(Y14="&lt;7.8", 1, Y14="7.8-11",2, Y14="&gt;11.1",3)</f>
        <v>1</v>
      </c>
      <c r="Z40" cm="1">
        <f t="array" ref="Z40">_xlfn.IFS(Z14="&lt;7.8", 1, Z14="7.8-11",2, Z14="&gt;11.1",3)</f>
        <v>1</v>
      </c>
      <c r="AA40" s="2" cm="1">
        <f t="array" ref="AA40">_xlfn.IFS($AA14="&lt;18.5", 1, $AA14="18.5-25",2, $AA14="25-30",3, $AA14="&gt;30",4)</f>
        <v>4</v>
      </c>
      <c r="AB40" s="2" cm="1">
        <f t="array" ref="AB40">_xlfn.IFS($AB14="&lt;18.5", 1, $AB14="18.5-25",2, $AB14="25-30",3, $AB14="&gt;30",4)</f>
        <v>2</v>
      </c>
    </row>
    <row r="41" spans="19:28">
      <c r="S41" s="2" cm="1">
        <f t="array" ref="S41">_xlfn.IFS($S15="&lt;120", 1, $S15="120-140",2, $S15="140-180",3, $S15="&gt;180",4)</f>
        <v>1</v>
      </c>
      <c r="T41" cm="1">
        <f t="array" ref="T41">_xlfn.IFS($T15="&lt;120", 1, $T15="120-140",2, $T15="140-180",3, $T15="&gt;180",4)</f>
        <v>1</v>
      </c>
      <c r="U41" cm="1">
        <f t="array" ref="U41">_xlfn.IFS($U15="&lt;5", 1, $U15="5-6.5",2, $U15="6.5-8",3, $U15="&gt;8",4)</f>
        <v>2</v>
      </c>
      <c r="V41" cm="1">
        <f t="array" ref="V41">_xlfn.IFS(V15="&lt;5", 1, V15="5-6.5",2, V15="6.5-8",3, V15="&gt;8",4)</f>
        <v>1</v>
      </c>
      <c r="Y41" cm="1">
        <f t="array" ref="Y41">_xlfn.IFS(Y15="&lt;7.8", 1, Y15="7.8-11",2, Y15="&gt;11.1",3)</f>
        <v>1</v>
      </c>
      <c r="Z41" cm="1">
        <f t="array" ref="Z41">_xlfn.IFS(Z15="&lt;7.8", 1, Z15="7.8-11",2, Z15="&gt;11.1",3)</f>
        <v>1</v>
      </c>
      <c r="AA41" s="2" cm="1">
        <f t="array" ref="AA41">_xlfn.IFS($AA15="&lt;18.5", 1, $AA15="18.5-25",2, $AA15="25-30",3, $AA15="&gt;30",4)</f>
        <v>2</v>
      </c>
      <c r="AB41" s="2" cm="1">
        <f t="array" ref="AB41">_xlfn.IFS($AB15="&lt;18.5", 1, $AB15="18.5-25",2, $AB15="25-30",3, $AB15="&gt;30",4)</f>
        <v>3</v>
      </c>
    </row>
    <row r="42" spans="19:28">
      <c r="S42" s="2" cm="1">
        <f t="array" ref="S42">_xlfn.IFS($S16="&lt;120", 1, $S16="120-140",2, $S16="140-180",3, $S16="&gt;180",4)</f>
        <v>1</v>
      </c>
      <c r="T42" cm="1">
        <f t="array" ref="T42">_xlfn.IFS($T16="&lt;120", 1, $T16="120-140",2, $T16="140-180",3, $T16="&gt;180",4)</f>
        <v>1</v>
      </c>
      <c r="U42" cm="1">
        <f t="array" ref="U42">_xlfn.IFS($U16="&lt;5", 1, $U16="5-6.5",2, $U16="6.5-8",3, $U16="&gt;8",4)</f>
        <v>1</v>
      </c>
      <c r="V42" cm="1">
        <f t="array" ref="V42">_xlfn.IFS(V16="&lt;5", 1, V16="5-6.5",2, V16="6.5-8",3, V16="&gt;8",4)</f>
        <v>1</v>
      </c>
      <c r="Y42" cm="1">
        <f t="array" ref="Y42">_xlfn.IFS(Y16="&lt;7.8", 1, Y16="7.8-11",2, Y16="&gt;11.1",3)</f>
        <v>2</v>
      </c>
      <c r="Z42" cm="1">
        <f t="array" ref="Z42">_xlfn.IFS(Z16="&lt;7.8", 1, Z16="7.8-11",2, Z16="&gt;11.1",3)</f>
        <v>2</v>
      </c>
      <c r="AA42" s="2" cm="1">
        <f t="array" ref="AA42">_xlfn.IFS($AA16="&lt;18.5", 1, $AA16="18.5-25",2, $AA16="25-30",3, $AA16="&gt;30",4)</f>
        <v>3</v>
      </c>
      <c r="AB42" s="2" cm="1">
        <f t="array" ref="AB42">_xlfn.IFS($AB16="&lt;18.5", 1, $AB16="18.5-25",2, $AB16="25-30",3, $AB16="&gt;30",4)</f>
        <v>3</v>
      </c>
    </row>
    <row r="43" spans="19:28">
      <c r="S43" s="2" cm="1">
        <f t="array" ref="S43">_xlfn.IFS($S17="&lt;120", 1, $S17="120-140",2, $S17="140-180",3, $S17="&gt;180",4)</f>
        <v>1</v>
      </c>
      <c r="T43" cm="1">
        <f t="array" ref="T43">_xlfn.IFS($T17="&lt;120", 1, $T17="120-140",2, $T17="140-180",3, $T17="&gt;180",4)</f>
        <v>1</v>
      </c>
      <c r="U43" cm="1">
        <f t="array" ref="U43">_xlfn.IFS($U17="&lt;5", 1, $U17="5-6.5",2, $U17="6.5-8",3, $U17="&gt;8",4)</f>
        <v>1</v>
      </c>
      <c r="V43" cm="1">
        <f t="array" ref="V43">_xlfn.IFS(V17="&lt;5", 1, V17="5-6.5",2, V17="6.5-8",3, V17="&gt;8",4)</f>
        <v>1</v>
      </c>
      <c r="Y43" cm="1">
        <f t="array" ref="Y43">_xlfn.IFS(Y17="&lt;7.8", 1, Y17="7.8-11",2, Y17="&gt;11.1",3)</f>
        <v>1</v>
      </c>
      <c r="Z43" cm="1">
        <f t="array" ref="Z43">_xlfn.IFS(Z17="&lt;7.8", 1, Z17="7.8-11",2, Z17="&gt;11.1",3)</f>
        <v>1</v>
      </c>
      <c r="AA43" s="2" cm="1">
        <f t="array" ref="AA43">_xlfn.IFS($AA17="&lt;18.5", 1, $AA17="18.5-25",2, $AA17="25-30",3, $AA17="&gt;30",4)</f>
        <v>2</v>
      </c>
      <c r="AB43" s="2" cm="1">
        <f t="array" ref="AB43">_xlfn.IFS($AB17="&lt;18.5", 1, $AB17="18.5-25",2, $AB17="25-30",3, $AB17="&gt;30",4)</f>
        <v>2</v>
      </c>
    </row>
    <row r="44" spans="19:28">
      <c r="S44" s="2" cm="1">
        <f t="array" ref="S44">_xlfn.IFS($S18="&lt;120", 1, $S18="120-140",2, $S18="140-180",3, $S18="&gt;180",4)</f>
        <v>1</v>
      </c>
      <c r="T44" cm="1">
        <f t="array" ref="T44">_xlfn.IFS($T18="&lt;120", 1, $T18="120-140",2, $T18="140-180",3, $T18="&gt;180",4)</f>
        <v>2</v>
      </c>
      <c r="U44" cm="1">
        <f t="array" ref="U44">_xlfn.IFS($U18="&lt;5", 1, $U18="5-6.5",2, $U18="6.5-8",3, $U18="&gt;8",4)</f>
        <v>1</v>
      </c>
      <c r="V44" cm="1">
        <f t="array" ref="V44">_xlfn.IFS(V18="&lt;5", 1, V18="5-6.5",2, V18="6.5-8",3, V18="&gt;8",4)</f>
        <v>3</v>
      </c>
      <c r="Y44" cm="1">
        <f t="array" ref="Y44">_xlfn.IFS(Y18="&lt;7.8", 1, Y18="7.8-11",2, Y18="&gt;11.1",3)</f>
        <v>1</v>
      </c>
      <c r="Z44" cm="1">
        <f t="array" ref="Z44">_xlfn.IFS(Z18="&lt;7.8", 1, Z18="7.8-11",2, Z18="&gt;11.1",3)</f>
        <v>2</v>
      </c>
      <c r="AA44" s="2" cm="1">
        <f t="array" ref="AA44">_xlfn.IFS($AA18="&lt;18.5", 1, $AA18="18.5-25",2, $AA18="25-30",3, $AA18="&gt;30",4)</f>
        <v>2</v>
      </c>
      <c r="AB44" s="2" cm="1">
        <f t="array" ref="AB44">_xlfn.IFS($AB18="&lt;18.5", 1, $AB18="18.5-25",2, $AB18="25-30",3, $AB18="&gt;30",4)</f>
        <v>3</v>
      </c>
    </row>
    <row r="45" spans="19:28">
      <c r="S45" s="2" cm="1">
        <f t="array" ref="S45">_xlfn.IFS($S19="&lt;120", 1, $S19="120-140",2, $S19="140-180",3, $S19="&gt;180",4)</f>
        <v>2</v>
      </c>
      <c r="T45" cm="1">
        <f t="array" ref="T45">_xlfn.IFS($T19="&lt;120", 1, $T19="120-140",2, $T19="140-180",3, $T19="&gt;180",4)</f>
        <v>3</v>
      </c>
      <c r="U45" cm="1">
        <f t="array" ref="U45">_xlfn.IFS($U19="&lt;5", 1, $U19="5-6.5",2, $U19="6.5-8",3, $U19="&gt;8",4)</f>
        <v>3</v>
      </c>
      <c r="V45" cm="1">
        <f t="array" ref="V45">_xlfn.IFS(V19="&lt;5", 1, V19="5-6.5",2, V19="6.5-8",3, V19="&gt;8",4)</f>
        <v>4</v>
      </c>
      <c r="Y45" cm="1">
        <f t="array" ref="Y45">_xlfn.IFS(Y19="&lt;7.8", 1, Y19="7.8-11",2, Y19="&gt;11.1",3)</f>
        <v>1</v>
      </c>
      <c r="Z45" cm="1">
        <f t="array" ref="Z45">_xlfn.IFS(Z19="&lt;7.8", 1, Z19="7.8-11",2, Z19="&gt;11.1",3)</f>
        <v>2</v>
      </c>
      <c r="AA45" s="2" cm="1">
        <f t="array" ref="AA45">_xlfn.IFS($AA19="&lt;18.5", 1, $AA19="18.5-25",2, $AA19="25-30",3, $AA19="&gt;30",4)</f>
        <v>2</v>
      </c>
      <c r="AB45" s="2" cm="1">
        <f t="array" ref="AB45">_xlfn.IFS($AB19="&lt;18.5", 1, $AB19="18.5-25",2, $AB19="25-30",3, $AB19="&gt;30",4)</f>
        <v>4</v>
      </c>
    </row>
    <row r="46" spans="19:28">
      <c r="S46" s="2" cm="1">
        <f t="array" ref="S46">_xlfn.IFS($S20="&lt;120", 1, $S20="120-140",2, $S20="140-180",3, $S20="&gt;180",4)</f>
        <v>2</v>
      </c>
      <c r="T46" cm="1">
        <f t="array" ref="T46">_xlfn.IFS($T20="&lt;120", 1, $T20="120-140",2, $T20="140-180",3, $T20="&gt;180",4)</f>
        <v>3</v>
      </c>
      <c r="U46" cm="1">
        <f t="array" ref="U46">_xlfn.IFS($U20="&lt;5", 1, $U20="5-6.5",2, $U20="6.5-8",3, $U20="&gt;8",4)</f>
        <v>1</v>
      </c>
      <c r="V46" cm="1">
        <f t="array" ref="V46">_xlfn.IFS(V20="&lt;5", 1, V20="5-6.5",2, V20="6.5-8",3, V20="&gt;8",4)</f>
        <v>1</v>
      </c>
      <c r="Y46" cm="1">
        <f t="array" ref="Y46">_xlfn.IFS(Y20="&lt;7.8", 1, Y20="7.8-11",2, Y20="&gt;11.1",3)</f>
        <v>1</v>
      </c>
      <c r="Z46" cm="1">
        <f t="array" ref="Z46">_xlfn.IFS(Z20="&lt;7.8", 1, Z20="7.8-11",2, Z20="&gt;11.1",3)</f>
        <v>1</v>
      </c>
      <c r="AA46" s="2" cm="1">
        <f t="array" ref="AA46">_xlfn.IFS($AA20="&lt;18.5", 1, $AA20="18.5-25",2, $AA20="25-30",3, $AA20="&gt;30",4)</f>
        <v>3</v>
      </c>
      <c r="AB46" s="2" cm="1">
        <f t="array" ref="AB46">_xlfn.IFS($AB20="&lt;18.5", 1, $AB20="18.5-25",2, $AB20="25-30",3, $AB20="&gt;30",4)</f>
        <v>2</v>
      </c>
    </row>
    <row r="47" spans="19:28">
      <c r="S47" s="2" cm="1">
        <f t="array" ref="S47">_xlfn.IFS($S21="&lt;120", 1, $S21="120-140",2, $S21="140-180",3, $S21="&gt;180",4)</f>
        <v>1</v>
      </c>
      <c r="T47" cm="1">
        <f t="array" ref="T47">_xlfn.IFS($T21="&lt;120", 1, $T21="120-140",2, $T21="140-180",3, $T21="&gt;180",4)</f>
        <v>1</v>
      </c>
      <c r="U47" cm="1">
        <f t="array" ref="U47">_xlfn.IFS($U21="&lt;5", 1, $U21="5-6.5",2, $U21="6.5-8",3, $U21="&gt;8",4)</f>
        <v>1</v>
      </c>
      <c r="V47" cm="1">
        <f t="array" ref="V47">_xlfn.IFS(V21="&lt;5", 1, V21="5-6.5",2, V21="6.5-8",3, V21="&gt;8",4)</f>
        <v>1</v>
      </c>
      <c r="Y47" cm="1">
        <f t="array" ref="Y47">_xlfn.IFS(Y21="&lt;7.8", 1, Y21="7.8-11",2, Y21="&gt;11.1",3)</f>
        <v>1</v>
      </c>
      <c r="Z47" cm="1">
        <f t="array" ref="Z47">_xlfn.IFS(Z21="&lt;7.8", 1, Z21="7.8-11",2, Z21="&gt;11.1",3)</f>
        <v>1</v>
      </c>
      <c r="AA47" s="2" cm="1">
        <f t="array" ref="AA47">_xlfn.IFS($AA21="&lt;18.5", 1, $AA21="18.5-25",2, $AA21="25-30",3, $AA21="&gt;30",4)</f>
        <v>2</v>
      </c>
      <c r="AB47" s="2" cm="1">
        <f t="array" ref="AB47">_xlfn.IFS($AB21="&lt;18.5", 1, $AB21="18.5-25",2, $AB21="25-30",3, $AB21="&gt;30",4)</f>
        <v>2</v>
      </c>
    </row>
    <row r="48" spans="19:28">
      <c r="S48" s="2" cm="1">
        <f t="array" ref="S48">_xlfn.IFS($S22="&lt;120", 1, $S22="120-140",2, $S22="140-180",3, $S22="&gt;180",4)</f>
        <v>1</v>
      </c>
      <c r="T48" cm="1">
        <f t="array" ref="T48">_xlfn.IFS($T22="&lt;120", 1, $T22="120-140",2, $T22="140-180",3, $T22="&gt;180",4)</f>
        <v>2</v>
      </c>
      <c r="U48" cm="1">
        <f t="array" ref="U48">_xlfn.IFS($U22="&lt;5", 1, $U22="5-6.5",2, $U22="6.5-8",3, $U22="&gt;8",4)</f>
        <v>2</v>
      </c>
      <c r="V48" cm="1">
        <f t="array" ref="V48">_xlfn.IFS(V22="&lt;5", 1, V22="5-6.5",2, V22="6.5-8",3, V22="&gt;8",4)</f>
        <v>1</v>
      </c>
      <c r="Y48" cm="1">
        <f t="array" ref="Y48">_xlfn.IFS(Y22="&lt;7.8", 1, Y22="7.8-11",2, Y22="&gt;11.1",3)</f>
        <v>1</v>
      </c>
      <c r="Z48" cm="1">
        <f t="array" ref="Z48">_xlfn.IFS(Z22="&lt;7.8", 1, Z22="7.8-11",2, Z22="&gt;11.1",3)</f>
        <v>2</v>
      </c>
      <c r="AA48" s="2" cm="1">
        <f t="array" ref="AA48">_xlfn.IFS($AA22="&lt;18.5", 1, $AA22="18.5-25",2, $AA22="25-30",3, $AA22="&gt;30",4)</f>
        <v>2</v>
      </c>
      <c r="AB48" s="2" cm="1">
        <f t="array" ref="AB48">_xlfn.IFS($AB22="&lt;18.5", 1, $AB22="18.5-25",2, $AB22="25-30",3, $AB22="&gt;30",4)</f>
        <v>2</v>
      </c>
    </row>
    <row r="49" spans="19:28">
      <c r="S49" s="2" cm="1">
        <f t="array" ref="S49">_xlfn.IFS($S23="&lt;120", 1, $S23="120-140",2, $S23="140-180",3, $S23="&gt;180",4)</f>
        <v>1</v>
      </c>
      <c r="T49" cm="1">
        <f t="array" ref="T49">_xlfn.IFS($T23="&lt;120", 1, $T23="120-140",2, $T23="140-180",3, $T23="&gt;180",4)</f>
        <v>2</v>
      </c>
      <c r="U49" cm="1">
        <f t="array" ref="U49">_xlfn.IFS($U23="&lt;5", 1, $U23="5-6.5",2, $U23="6.5-8",3, $U23="&gt;8",4)</f>
        <v>1</v>
      </c>
      <c r="V49" cm="1">
        <f t="array" ref="V49">_xlfn.IFS(V23="&lt;5", 1, V23="5-6.5",2, V23="6.5-8",3, V23="&gt;8",4)</f>
        <v>2</v>
      </c>
      <c r="Y49" cm="1">
        <f t="array" ref="Y49">_xlfn.IFS(Y23="&lt;7.8", 1, Y23="7.8-11",2, Y23="&gt;11.1",3)</f>
        <v>1</v>
      </c>
      <c r="Z49" cm="1">
        <f t="array" ref="Z49">_xlfn.IFS(Z23="&lt;7.8", 1, Z23="7.8-11",2, Z23="&gt;11.1",3)</f>
        <v>3</v>
      </c>
      <c r="AA49" s="2" cm="1">
        <f t="array" ref="AA49">_xlfn.IFS($AA23="&lt;18.5", 1, $AA23="18.5-25",2, $AA23="25-30",3, $AA23="&gt;30",4)</f>
        <v>3</v>
      </c>
      <c r="AB49" s="2" cm="1">
        <f t="array" ref="AB49">_xlfn.IFS($AB23="&lt;18.5", 1, $AB23="18.5-25",2, $AB23="25-30",3, $AB23="&gt;30",4)</f>
        <v>2</v>
      </c>
    </row>
    <row r="50" spans="19:28">
      <c r="S50" s="2" cm="1">
        <f t="array" ref="S50">_xlfn.IFS($S24="&lt;120", 1, $S24="120-140",2, $S24="140-180",3, $S24="&gt;180",4)</f>
        <v>1</v>
      </c>
      <c r="T50" cm="1">
        <f t="array" ref="T50">_xlfn.IFS($T24="&lt;120", 1, $T24="120-140",2, $T24="140-180",3, $T24="&gt;180",4)</f>
        <v>1</v>
      </c>
      <c r="U50" cm="1">
        <f t="array" ref="U50">_xlfn.IFS($U24="&lt;5", 1, $U24="5-6.5",2, $U24="6.5-8",3, $U24="&gt;8",4)</f>
        <v>1</v>
      </c>
      <c r="V50" cm="1">
        <f t="array" ref="V50">_xlfn.IFS(V24="&lt;5", 1, V24="5-6.5",2, V24="6.5-8",3, V24="&gt;8",4)</f>
        <v>1</v>
      </c>
      <c r="Y50" cm="1">
        <f t="array" ref="Y50">_xlfn.IFS(Y24="&lt;7.8", 1, Y24="7.8-11",2, Y24="&gt;11.1",3)</f>
        <v>2</v>
      </c>
      <c r="Z50" cm="1">
        <f t="array" ref="Z50">_xlfn.IFS(Z24="&lt;7.8", 1, Z24="7.8-11",2, Z24="&gt;11.1",3)</f>
        <v>1</v>
      </c>
      <c r="AA50" s="2" cm="1">
        <f t="array" ref="AA50">_xlfn.IFS($AA24="&lt;18.5", 1, $AA24="18.5-25",2, $AA24="25-30",3, $AA24="&gt;30",4)</f>
        <v>4</v>
      </c>
      <c r="AB50" s="2" cm="1">
        <f t="array" ref="AB50">_xlfn.IFS($AB24="&lt;18.5", 1, $AB24="18.5-25",2, $AB24="25-30",3, $AB24="&gt;30",4)</f>
        <v>2</v>
      </c>
    </row>
    <row r="51" spans="19:28">
      <c r="S51" s="2" cm="1">
        <f t="array" ref="S51">_xlfn.IFS($S25="&lt;120", 1, $S25="120-140",2, $S25="140-180",3, $S25="&gt;180",4)</f>
        <v>2</v>
      </c>
      <c r="T51" cm="1">
        <f t="array" ref="T51">_xlfn.IFS($T25="&lt;120", 1, $T25="120-140",2, $T25="140-180",3, $T25="&gt;180",4)</f>
        <v>1</v>
      </c>
      <c r="U51" cm="1">
        <f t="array" ref="U51">_xlfn.IFS($U25="&lt;5", 1, $U25="5-6.5",2, $U25="6.5-8",3, $U25="&gt;8",4)</f>
        <v>3</v>
      </c>
      <c r="V51" cm="1">
        <f t="array" ref="V51">_xlfn.IFS(V25="&lt;5", 1, V25="5-6.5",2, V25="6.5-8",3, V25="&gt;8",4)</f>
        <v>3</v>
      </c>
      <c r="Y51" cm="1">
        <f t="array" ref="Y51">_xlfn.IFS(Y25="&lt;7.8", 1, Y25="7.8-11",2, Y25="&gt;11.1",3)</f>
        <v>1</v>
      </c>
      <c r="Z51" cm="1">
        <f t="array" ref="Z51">_xlfn.IFS(Z25="&lt;7.8", 1, Z25="7.8-11",2, Z25="&gt;11.1",3)</f>
        <v>2</v>
      </c>
      <c r="AA51" s="2" cm="1">
        <f t="array" ref="AA51">_xlfn.IFS($AA25="&lt;18.5", 1, $AA25="18.5-25",2, $AA25="25-30",3, $AA25="&gt;30",4)</f>
        <v>4</v>
      </c>
      <c r="AB51" s="2" cm="1">
        <f t="array" ref="AB51">_xlfn.IFS($AB25="&lt;18.5", 1, $AB25="18.5-25",2, $AB25="25-30",3, $AB25="&gt;30",4)</f>
        <v>3</v>
      </c>
    </row>
    <row r="52" spans="19:28">
      <c r="S52" s="2" cm="1">
        <f t="array" ref="S52">_xlfn.IFS($S26="&lt;120", 1, $S26="120-140",2, $S26="140-180",3, $S26="&gt;180",4)</f>
        <v>1</v>
      </c>
      <c r="T52" cm="1">
        <f t="array" ref="T52">_xlfn.IFS($T26="&lt;120", 1, $T26="120-140",2, $T26="140-180",3, $T26="&gt;180",4)</f>
        <v>1</v>
      </c>
      <c r="U52" cm="1">
        <f t="array" ref="U52">_xlfn.IFS($U26="&lt;5", 1, $U26="5-6.5",2, $U26="6.5-8",3, $U26="&gt;8",4)</f>
        <v>4</v>
      </c>
      <c r="V52" cm="1">
        <f t="array" ref="V52">_xlfn.IFS(V26="&lt;5", 1, V26="5-6.5",2, V26="6.5-8",3, V26="&gt;8",4)</f>
        <v>2</v>
      </c>
      <c r="Y52" cm="1">
        <f t="array" ref="Y52">_xlfn.IFS(Y26="&lt;7.8", 1, Y26="7.8-11",2, Y26="&gt;11.1",3)</f>
        <v>1</v>
      </c>
      <c r="Z52" cm="1">
        <f t="array" ref="Z52">_xlfn.IFS(Z26="&lt;7.8", 1, Z26="7.8-11",2, Z26="&gt;11.1",3)</f>
        <v>2</v>
      </c>
      <c r="AA52" s="2" cm="1">
        <f t="array" ref="AA52">_xlfn.IFS($AA26="&lt;18.5", 1, $AA26="18.5-25",2, $AA26="25-30",3, $AA26="&gt;30",4)</f>
        <v>2</v>
      </c>
      <c r="AB52" s="2" cm="1">
        <f t="array" ref="AB52">_xlfn.IFS($AB26="&lt;18.5", 1, $AB26="18.5-25",2, $AB26="25-30",3, $AB26="&gt;30",4)</f>
        <v>2</v>
      </c>
    </row>
    <row r="53" spans="19:28">
      <c r="AA53" s="2"/>
    </row>
    <row r="55" spans="19:28">
      <c r="S55" t="s">
        <v>77</v>
      </c>
    </row>
    <row r="56" spans="19:28">
      <c r="S56">
        <v>1</v>
      </c>
      <c r="T56">
        <v>1</v>
      </c>
      <c r="U56">
        <v>1</v>
      </c>
      <c r="V56">
        <v>1</v>
      </c>
      <c r="Y56">
        <v>1</v>
      </c>
      <c r="Z56">
        <v>1</v>
      </c>
      <c r="AA56">
        <v>1</v>
      </c>
      <c r="AB56">
        <v>1</v>
      </c>
    </row>
    <row r="57" spans="19:28">
      <c r="S57">
        <v>2</v>
      </c>
      <c r="T57">
        <v>2</v>
      </c>
      <c r="U57">
        <v>2</v>
      </c>
      <c r="V57">
        <v>2</v>
      </c>
      <c r="Y57">
        <v>2</v>
      </c>
      <c r="Z57">
        <v>2</v>
      </c>
      <c r="AA57">
        <v>2</v>
      </c>
      <c r="AB57">
        <v>2</v>
      </c>
    </row>
    <row r="58" spans="19:28">
      <c r="S58">
        <v>3</v>
      </c>
      <c r="T58">
        <v>3</v>
      </c>
      <c r="U58">
        <v>3</v>
      </c>
      <c r="V58">
        <v>3</v>
      </c>
      <c r="Y58">
        <v>3</v>
      </c>
      <c r="Z58">
        <v>3</v>
      </c>
      <c r="AA58">
        <v>3</v>
      </c>
      <c r="AB58">
        <v>3</v>
      </c>
    </row>
    <row r="59" spans="19:28">
      <c r="S59">
        <v>4</v>
      </c>
      <c r="T59">
        <v>4</v>
      </c>
      <c r="U59">
        <v>4</v>
      </c>
      <c r="V59">
        <v>4</v>
      </c>
      <c r="AA59">
        <v>4</v>
      </c>
      <c r="AB59">
        <v>4</v>
      </c>
    </row>
    <row r="60" spans="19:28">
      <c r="S60" t="s">
        <v>78</v>
      </c>
    </row>
    <row r="61" spans="19:28">
      <c r="S61">
        <v>1</v>
      </c>
      <c r="T61">
        <v>1</v>
      </c>
      <c r="U61">
        <v>1</v>
      </c>
      <c r="V61">
        <v>1</v>
      </c>
      <c r="Y61">
        <v>1</v>
      </c>
      <c r="Z61">
        <v>1</v>
      </c>
      <c r="AA61">
        <v>1</v>
      </c>
      <c r="AB61">
        <v>1</v>
      </c>
    </row>
    <row r="62" spans="19:28">
      <c r="S62" t="s">
        <v>79</v>
      </c>
    </row>
    <row r="63" spans="19:28">
      <c r="S63">
        <v>0.14000000000000001</v>
      </c>
      <c r="T63">
        <v>0.14000000000000001</v>
      </c>
      <c r="U63">
        <v>0.14000000000000001</v>
      </c>
      <c r="V63">
        <v>0.14000000000000001</v>
      </c>
      <c r="Y63">
        <v>0.14000000000000001</v>
      </c>
      <c r="Z63">
        <v>0.14000000000000001</v>
      </c>
      <c r="AA63">
        <v>0.14000000000000001</v>
      </c>
      <c r="AB63">
        <v>0.14000000000000001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21535A427A8B43B36C67C7B14DFCCB" ma:contentTypeVersion="12" ma:contentTypeDescription="Create a new document." ma:contentTypeScope="" ma:versionID="e58514093081e74cc34e525429048e93">
  <xsd:schema xmlns:xsd="http://www.w3.org/2001/XMLSchema" xmlns:xs="http://www.w3.org/2001/XMLSchema" xmlns:p="http://schemas.microsoft.com/office/2006/metadata/properties" xmlns:ns3="5bf1727f-c0de-415c-838f-3bea855bae34" targetNamespace="http://schemas.microsoft.com/office/2006/metadata/properties" ma:root="true" ma:fieldsID="35e2c7127c2e7a46f13291f79f622fee" ns3:_="">
    <xsd:import namespace="5bf1727f-c0de-415c-838f-3bea855bae3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f1727f-c0de-415c-838f-3bea855bae3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bf1727f-c0de-415c-838f-3bea855bae34" xsi:nil="true"/>
  </documentManagement>
</p:properties>
</file>

<file path=customXml/itemProps1.xml><?xml version="1.0" encoding="utf-8"?>
<ds:datastoreItem xmlns:ds="http://schemas.openxmlformats.org/officeDocument/2006/customXml" ds:itemID="{78829624-DB4A-4281-8AE0-49F9955CEF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f1727f-c0de-415c-838f-3bea855bae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C894C2-5F84-417D-98CD-39F113575F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3AC0DF-550B-4776-8175-4840494E4B75}">
  <ds:schemaRefs>
    <ds:schemaRef ds:uri="http://schemas.microsoft.com/office/2006/documentManagement/types"/>
    <ds:schemaRef ds:uri="http://schemas.openxmlformats.org/package/2006/metadata/core-properties"/>
    <ds:schemaRef ds:uri="5bf1727f-c0de-415c-838f-3bea855bae34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verwerkte_data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 Nor</dc:creator>
  <cp:lastModifiedBy>Rik Noorman</cp:lastModifiedBy>
  <dcterms:created xsi:type="dcterms:W3CDTF">2026-06-04T17:49:17Z</dcterms:created>
  <dcterms:modified xsi:type="dcterms:W3CDTF">2026-06-04T20:17:38Z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0x0101008421535A427A8B43B36C67C7B14DFCCB</vt:lpwstr>
  </property>
</Properties>
</file>